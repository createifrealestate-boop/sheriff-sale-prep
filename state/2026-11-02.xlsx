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OK to Sell" sheetId="2" state="visible" r:id="rId2"/>
    <sheet xmlns:r="http://schemas.openxmlformats.org/officeDocument/2006/relationships" name="Almost Ready" sheetId="3" state="visible" r:id="rId3"/>
    <sheet xmlns:r="http://schemas.openxmlformats.org/officeDocument/2006/relationships" name="Transfer Tax" sheetId="4" state="visible" r:id="rId4"/>
    <sheet xmlns:r="http://schemas.openxmlformats.org/officeDocument/2006/relationships" name="Glossary" sheetId="5" state="visible" r:id="rId5"/>
    <sheet xmlns:r="http://schemas.openxmlformats.org/officeDocument/2006/relationships" name="_Data" sheetId="6" state="hidden" r:id="rId6"/>
    <sheet xmlns:r="http://schemas.openxmlformats.org/officeDocument/2006/relationships" name="_Manual" sheetId="7" state="hidden" r:id="rId7"/>
    <sheet xmlns:r="http://schemas.openxmlformats.org/officeDocument/2006/relationships" name="_Meta" sheetId="8" state="hidden" r:id="rId8"/>
  </sheets>
  <definedNames>
    <definedName name="_xlnm._FilterDatabase" localSheetId="1" hidden="1">'OK to Sell'!$A$4:$AE$109</definedName>
    <definedName name="_xlnm._FilterDatabase" localSheetId="2" hidden="1">'Almost Ready'!$A$4:$AE$21</definedName>
    <definedName name="_xlnm._FilterDatabase" localSheetId="3" hidden="1">'Transfer Tax'!$A$13:$K$144</definedName>
  </definedNames>
  <calcPr calcId="124519" fullCalcOnLoad="1"/>
</workbook>
</file>

<file path=xl/styles.xml><?xml version="1.0" encoding="utf-8"?>
<styleSheet xmlns="http://schemas.openxmlformats.org/spreadsheetml/2006/main">
  <numFmts count="2">
    <numFmt numFmtId="164" formatCode="&quot;$&quot;#,##0.00"/>
    <numFmt numFmtId="165" formatCode="0.0%"/>
  </numFmts>
  <fonts count="9">
    <font>
      <name val="Calibri"/>
      <family val="2"/>
      <color theme="1"/>
      <sz val="11"/>
      <scheme val="minor"/>
    </font>
    <font>
      <b val="1"/>
      <sz val="15"/>
    </font>
    <font>
      <i val="1"/>
      <color rgb="00555555"/>
    </font>
    <font>
      <b val="1"/>
    </font>
    <font/>
    <font>
      <b val="1"/>
      <sz val="12"/>
    </font>
    <font>
      <b val="1"/>
      <color rgb="00FFFFFF"/>
    </font>
    <font>
      <b val="1"/>
      <sz val="14"/>
    </font>
    <font>
      <b val="1"/>
      <sz val="11"/>
    </font>
  </fonts>
  <fills count="6">
    <fill>
      <patternFill/>
    </fill>
    <fill>
      <patternFill patternType="gray125"/>
    </fill>
    <fill>
      <patternFill patternType="solid">
        <fgColor rgb="001F3A5F"/>
      </patternFill>
    </fill>
    <fill>
      <patternFill patternType="solid">
        <fgColor rgb="00B7791F"/>
      </patternFill>
    </fill>
    <fill>
      <patternFill patternType="solid">
        <fgColor rgb="00FFF6D5"/>
      </patternFill>
    </fill>
    <fill>
      <patternFill patternType="solid">
        <fgColor rgb="00FDF0DC"/>
      </patternFill>
    </fill>
  </fills>
  <borders count="2">
    <border>
      <left/>
      <right/>
      <top/>
      <bottom/>
      <diagonal/>
    </border>
    <border>
      <bottom style="thin">
        <color rgb="00D0D0D0"/>
      </bottom>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0" applyAlignment="1" pivotButton="0" quotePrefix="0" xfId="0">
      <alignment vertical="center" wrapText="1"/>
    </xf>
    <xf numFmtId="0" fontId="0" fillId="0" borderId="0" applyAlignment="1" pivotButton="0" quotePrefix="0" xfId="0">
      <alignment wrapText="1"/>
    </xf>
    <xf numFmtId="0" fontId="7" fillId="0" borderId="0" pivotButton="0" quotePrefix="0" xfId="0"/>
    <xf numFmtId="0" fontId="6" fillId="3" borderId="0" applyAlignment="1" pivotButton="0" quotePrefix="0" xfId="0">
      <alignment vertical="center" wrapText="1"/>
    </xf>
    <xf numFmtId="0" fontId="0" fillId="0" borderId="1" applyAlignment="1" pivotButton="0" quotePrefix="0" xfId="0">
      <alignment vertical="top"/>
    </xf>
    <xf numFmtId="164" fontId="0" fillId="0" borderId="1" applyAlignment="1" pivotButton="0" quotePrefix="0" xfId="0">
      <alignment vertical="top"/>
    </xf>
    <xf numFmtId="0" fontId="0" fillId="0" borderId="1" applyAlignment="1" pivotButton="0" quotePrefix="0" xfId="0">
      <alignment vertical="top" wrapText="1"/>
    </xf>
    <xf numFmtId="165" fontId="0" fillId="0" borderId="1" applyAlignment="1" pivotButton="0" quotePrefix="0" xfId="0">
      <alignment vertical="top"/>
    </xf>
    <xf numFmtId="164" fontId="0" fillId="4" borderId="1" applyAlignment="1" pivotButton="0" quotePrefix="0" xfId="0">
      <alignment vertical="top"/>
    </xf>
    <xf numFmtId="0" fontId="0" fillId="4" borderId="1" applyAlignment="1" pivotButton="0" quotePrefix="0" xfId="0">
      <alignment vertical="top"/>
    </xf>
    <xf numFmtId="0" fontId="0" fillId="5" borderId="1" applyAlignment="1" pivotButton="0" quotePrefix="0" xfId="0">
      <alignment vertical="top" wrapText="1"/>
    </xf>
    <xf numFmtId="165" fontId="0" fillId="0" borderId="0" pivotButton="0" quotePrefix="0" xfId="0"/>
    <xf numFmtId="0" fontId="0" fillId="4" borderId="0" pivotButton="0" quotePrefix="0" xfId="0"/>
    <xf numFmtId="164" fontId="0" fillId="4" borderId="0" pivotButton="0" quotePrefix="0" xfId="0"/>
    <xf numFmtId="164" fontId="0" fillId="0" borderId="0" pivotButton="0" quotePrefix="0" xfId="0"/>
    <xf numFmtId="0" fontId="0" fillId="0" borderId="0" applyAlignment="1" pivotButton="0" quotePrefix="0" xfId="0">
      <alignment vertical="top" wrapText="1"/>
    </xf>
    <xf numFmtId="0" fontId="8" fillId="0" borderId="0" applyAlignment="1" pivotButton="0" quotePrefix="0" xfId="0">
      <alignment wrapText="1"/>
    </xf>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44" customWidth="1" min="1" max="1"/>
    <col width="12" customWidth="1" min="2" max="2"/>
    <col width="34" customWidth="1" min="3" max="3"/>
    <col width="18" customWidth="1" min="4" max="4"/>
    <col width="22" customWidth="1" min="5" max="5"/>
    <col width="60" customWidth="1" min="6" max="6"/>
  </cols>
  <sheetData>
    <row r="1">
      <c r="A1" s="1" t="inlineStr">
        <is>
          <t>Allegheny County Sheriff Sale — Monday, November 2, 2026</t>
        </is>
      </c>
    </row>
    <row r="2">
      <c r="A2" s="2" t="inlineStr">
        <is>
          <t>Source: November-Sale-List-Updated-10-22.pdf (printed 10/22/2026 2:51:38PM).  Updated Wed Oct 28, 2026 4:31 AM.</t>
        </is>
      </c>
    </row>
    <row r="4">
      <c r="A4" s="3" t="inlineStr">
        <is>
          <t>OK to Sell</t>
        </is>
      </c>
      <c r="B4" t="n">
        <v>105</v>
      </c>
      <c r="C4" t="inlineStr">
        <is>
          <t>Sum of opening bids: $2,248,676</t>
        </is>
      </c>
    </row>
    <row r="5">
      <c r="A5" s="3" t="inlineStr">
        <is>
          <t>Almost Ready (needs only 3129.3 / verify)</t>
        </is>
      </c>
      <c r="B5" t="n">
        <v>17</v>
      </c>
      <c r="C5" t="inlineStr">
        <is>
          <t>Sum of opening bids: $492,954</t>
        </is>
      </c>
    </row>
    <row r="6">
      <c r="A6" s="4" t="inlineStr">
        <is>
          <t>Residential cases still active but not ready</t>
        </is>
      </c>
      <c r="B6" t="n">
        <v>156</v>
      </c>
    </row>
    <row r="7">
      <c r="A7" s="4" t="inlineStr">
        <is>
          <t>All cases on the Sheriff's list</t>
        </is>
      </c>
      <c r="B7" t="n">
        <v>430</v>
      </c>
    </row>
    <row r="9">
      <c r="A9" s="5" t="inlineStr">
        <is>
          <t>Changes since the last update (2026-10-26 04:31)</t>
        </is>
      </c>
    </row>
    <row r="10">
      <c r="A10" t="inlineStr">
        <is>
          <t>No changes to OK to Sell or Almost Ready.</t>
        </is>
      </c>
    </row>
    <row r="12">
      <c r="A12" s="5" t="inlineStr">
        <is>
          <t>Update log</t>
        </is>
      </c>
    </row>
    <row r="13" ht="18" customHeight="1">
      <c r="A13" s="6" t="inlineStr">
        <is>
          <t>Updated</t>
        </is>
      </c>
      <c r="B13" s="6" t="inlineStr">
        <is>
          <t>OK to Sell</t>
        </is>
      </c>
      <c r="C13" s="6" t="inlineStr">
        <is>
          <t>Source file</t>
        </is>
      </c>
      <c r="D13" s="6" t="inlineStr">
        <is>
          <t>Almost Ready</t>
        </is>
      </c>
    </row>
    <row r="14">
      <c r="A14" t="inlineStr">
        <is>
          <t>2026-10-25 22:15</t>
        </is>
      </c>
      <c r="B14" t="n">
        <v>105</v>
      </c>
      <c r="C14" t="inlineStr">
        <is>
          <t>November-Sale-List-Updated-10-22.pdf (printed 10/22/2026 2:51:38PM)</t>
        </is>
      </c>
      <c r="D14" t="n">
        <v>17</v>
      </c>
    </row>
    <row r="15">
      <c r="A15" t="inlineStr">
        <is>
          <t>2026-10-26 04:31</t>
        </is>
      </c>
      <c r="B15" t="n">
        <v>105</v>
      </c>
      <c r="C15" t="inlineStr">
        <is>
          <t>November-Sale-List-Updated-10-22.pdf (printed 10/22/2026 2:51:38PM)</t>
        </is>
      </c>
      <c r="D15" t="n">
        <v>17</v>
      </c>
    </row>
    <row r="16">
      <c r="A16" t="inlineStr">
        <is>
          <t>2026-10-28 04:31</t>
        </is>
      </c>
      <c r="B16" t="n">
        <v>105</v>
      </c>
      <c r="C16" t="inlineStr">
        <is>
          <t>November-Sale-List-Updated-10-22.pdf (printed 10/22/2026 2:51:38PM)</t>
        </is>
      </c>
      <c r="D16" t="n">
        <v>17</v>
      </c>
    </row>
    <row r="18" ht="48" customHeight="1">
      <c r="A18" s="7" t="inlineStr">
        <is>
          <t>How to use: type only in the yellow YOUR ENTRY columns on OK to Sell / Almost Ready (assessed value fills in the transfer-tax estimate). Every update keeps what you typed, matched by Sale ID. The Sheriff finalizes the list the morning of the sale — check the morning-of list before bidding. Not legal advice; see Glossary.</t>
        </is>
      </c>
    </row>
  </sheetData>
  <mergeCells count="1">
    <mergeCell ref="A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109"/>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10" customWidth="1" min="1" max="1"/>
    <col width="14" customWidth="1" min="2" max="2"/>
    <col width="26" customWidth="1" min="3" max="3"/>
    <col width="14" customWidth="1" min="4" max="4"/>
    <col width="7" customWidth="1" min="5" max="5"/>
    <col width="16" customWidth="1" min="6" max="6"/>
    <col width="16" customWidth="1" min="7" max="7"/>
    <col width="22" customWidth="1" min="8" max="8"/>
    <col width="16" customWidth="1" min="9" max="9"/>
    <col width="20" customWidth="1" min="10" max="10"/>
    <col width="14" customWidth="1" min="11" max="11"/>
    <col width="22" customWidth="1" min="12" max="12"/>
    <col width="22" customWidth="1" min="13" max="13"/>
    <col width="20" customWidth="1" min="14" max="14"/>
    <col width="12" customWidth="1" min="15" max="15"/>
    <col width="12" customWidth="1" min="16" max="16"/>
    <col width="12" customWidth="1" min="17" max="17"/>
    <col width="13" customWidth="1" min="18" max="18"/>
    <col width="14" customWidth="1" min="19" max="19"/>
    <col width="34" customWidth="1" min="20" max="20"/>
    <col width="34" customWidth="1" min="21" max="21"/>
    <col width="44" customWidth="1" min="22" max="22"/>
    <col width="20" customWidth="1" min="23" max="23"/>
    <col width="10" customWidth="1" min="24" max="24"/>
    <col width="13" customWidth="1" min="25" max="25"/>
    <col width="13" customWidth="1" min="26" max="26"/>
    <col width="12" customWidth="1" min="27" max="27"/>
    <col width="30" customWidth="1" min="28" max="28"/>
    <col width="12" customWidth="1" min="29" max="29"/>
    <col width="10" customWidth="1" min="30" max="30"/>
    <col width="11" customWidth="1" min="31" max="31"/>
  </cols>
  <sheetData>
    <row r="1">
      <c r="A1" s="8" t="inlineStr">
        <is>
          <t>OK to Sell — Mon Nov 2</t>
        </is>
      </c>
    </row>
    <row r="2">
      <c r="A2" s="2" t="inlineStr">
        <is>
          <t>Active residential cases with the Sheriff's OK box checked and nothing outstanding except possibly Rule 3129.3. Status can still change before the sale.</t>
        </is>
      </c>
    </row>
    <row r="4" ht="42" customHeight="1">
      <c r="A4" s="6" t="inlineStr">
        <is>
          <t>Sale ID</t>
        </is>
      </c>
      <c r="B4" s="6" t="inlineStr">
        <is>
          <t>Case #</t>
        </is>
      </c>
      <c r="C4" s="6" t="inlineStr">
        <is>
          <t>Property address</t>
        </is>
      </c>
      <c r="D4" s="6" t="inlineStr">
        <is>
          <t>City</t>
        </is>
      </c>
      <c r="E4" s="6" t="inlineStr">
        <is>
          <t>ZIP</t>
        </is>
      </c>
      <c r="F4" s="6" t="inlineStr">
        <is>
          <t>Municipality</t>
        </is>
      </c>
      <c r="G4" s="6" t="inlineStr">
        <is>
          <t>Parcel ID(s)</t>
        </is>
      </c>
      <c r="H4" s="6" t="inlineStr">
        <is>
          <t>County parcel ID (portal format)</t>
        </is>
      </c>
      <c r="I4" s="6" t="inlineStr">
        <is>
          <t>Property type</t>
        </is>
      </c>
      <c r="J4" s="6" t="inlineStr">
        <is>
          <t>Sale category</t>
        </is>
      </c>
      <c r="K4" s="6" t="inlineStr">
        <is>
          <t>Owner type</t>
        </is>
      </c>
      <c r="L4" s="6" t="inlineStr">
        <is>
          <t>Defendant / owner</t>
        </is>
      </c>
      <c r="M4" s="6" t="inlineStr">
        <is>
          <t>Plaintiff</t>
        </is>
      </c>
      <c r="N4" s="6" t="inlineStr">
        <is>
          <t>Plaintiff attorney</t>
        </is>
      </c>
      <c r="O4" s="6" t="inlineStr">
        <is>
          <t>Cost &amp; Tax bid</t>
        </is>
      </c>
      <c r="P4" s="6" t="inlineStr">
        <is>
          <t>Free &amp; clear min bid</t>
        </is>
      </c>
      <c r="Q4" s="6" t="inlineStr">
        <is>
          <t>Opening bid to watch</t>
        </is>
      </c>
      <c r="R4" s="6" t="inlineStr">
        <is>
          <t>Reassessed damages (judgment)</t>
        </is>
      </c>
      <c r="S4" s="6" t="inlineStr">
        <is>
          <t>Boxes  Svs · 3129.2 · 3129.3 · OK</t>
        </is>
      </c>
      <c r="T4" s="6" t="inlineStr">
        <is>
          <t>Readiness note</t>
        </is>
      </c>
      <c r="U4" s="6" t="inlineStr">
        <is>
          <t>Flags / title &amp; bidding risks</t>
        </is>
      </c>
      <c r="V4" s="6" t="inlineStr">
        <is>
          <t>Sheriff comments (verbatim)</t>
        </is>
      </c>
      <c r="W4" s="6" t="inlineStr">
        <is>
          <t>Transfer tax municipality</t>
        </is>
      </c>
      <c r="X4" s="6" t="inlineStr">
        <is>
          <t>Transfer tax rate (total)</t>
        </is>
      </c>
      <c r="Y4" s="9" t="inlineStr">
        <is>
          <t>YOUR ENTRY: Assessed value</t>
        </is>
      </c>
      <c r="Z4" s="6" t="inlineStr">
        <is>
          <t>Est. transfer tax on sheriff deed</t>
        </is>
      </c>
      <c r="AA4" s="9" t="inlineStr">
        <is>
          <t>YOUR ENTRY: Max bid</t>
        </is>
      </c>
      <c r="AB4" s="9" t="inlineStr">
        <is>
          <t>YOUR ENTRY: My notes</t>
        </is>
      </c>
      <c r="AC4" s="9" t="inlineStr">
        <is>
          <t>YOUR ENTRY: Sold for</t>
        </is>
      </c>
      <c r="AD4" s="9" t="inlineStr">
        <is>
          <t>YOUR ENTRY: Bidder #</t>
        </is>
      </c>
      <c r="AE4" s="6" t="inlineStr">
        <is>
          <t>First listed here</t>
        </is>
      </c>
    </row>
    <row r="5">
      <c r="A5" s="10" t="inlineStr">
        <is>
          <t>97NOV26</t>
        </is>
      </c>
      <c r="B5" s="10" t="inlineStr">
        <is>
          <t>GD-21-000668</t>
        </is>
      </c>
      <c r="C5" s="10" t="inlineStr">
        <is>
          <t>215 Union Avenue</t>
        </is>
      </c>
      <c r="D5" s="10" t="inlineStr">
        <is>
          <t>Pittsburgh</t>
        </is>
      </c>
      <c r="E5" s="10" t="inlineStr">
        <is>
          <t>15202</t>
        </is>
      </c>
      <c r="F5" s="10" t="inlineStr">
        <is>
          <t>Avalon</t>
        </is>
      </c>
      <c r="G5" s="10" t="inlineStr">
        <is>
          <t>215-P-333</t>
        </is>
      </c>
      <c r="H5" s="10" t="inlineStr">
        <is>
          <t>0215-P-00333-0000-00</t>
        </is>
      </c>
      <c r="I5" s="10" t="inlineStr">
        <is>
          <t>Residential / unspecified</t>
        </is>
      </c>
      <c r="J5" s="10" t="inlineStr">
        <is>
          <t>Tax lien (Sci Fa sur tax lien)</t>
        </is>
      </c>
      <c r="K5" s="10" t="inlineStr">
        <is>
          <t>Individual</t>
        </is>
      </c>
      <c r="L5" s="10" t="inlineStr">
        <is>
          <t>Seth, Robert A.</t>
        </is>
      </c>
      <c r="M5" s="10" t="inlineStr">
        <is>
          <t>Borough of Avalon</t>
        </is>
      </c>
      <c r="N5" s="10" t="inlineStr">
        <is>
          <t>GOEHRING RUTTER &amp; BOEHM</t>
        </is>
      </c>
      <c r="O5" s="11" t="n">
        <v>21673.25</v>
      </c>
      <c r="P5" s="11" t="n"/>
      <c r="Q5" s="11" t="n">
        <v>21673.25</v>
      </c>
      <c r="R5" s="11" t="n"/>
      <c r="S5" s="10" t="inlineStr">
        <is>
          <t>✔ ✔ – ✔</t>
        </is>
      </c>
      <c r="T5" s="12" t="inlineStr">
        <is>
          <t>Sheriff OK box checked</t>
        </is>
      </c>
      <c r="U5" s="12" t="inlineStr"/>
      <c r="V5" s="12" t="inlineStr">
        <is>
          <t>OK TO SELL 11/2/26</t>
        </is>
      </c>
      <c r="W5" s="10" t="inlineStr">
        <is>
          <t>Avalon Boro</t>
        </is>
      </c>
      <c r="X5" s="13">
        <f>IFERROR(VLOOKUP(W5,'Transfer Tax'!$A$14:$H$400,8,FALSE),"")</f>
        <v/>
      </c>
      <c r="Y5" s="14" t="n"/>
      <c r="Z5" s="11">
        <f>IF(OR(Y5="",X5=""),"",Y5*'Transfer Tax'!$B$6*X5)</f>
        <v/>
      </c>
      <c r="AA5" s="14" t="n"/>
      <c r="AB5" s="15" t="n"/>
      <c r="AC5" s="14" t="n"/>
      <c r="AD5" s="15" t="n"/>
      <c r="AE5" s="10" t="inlineStr">
        <is>
          <t>2026-10-25</t>
        </is>
      </c>
    </row>
    <row r="6">
      <c r="A6" s="10" t="inlineStr">
        <is>
          <t>101NOV26</t>
        </is>
      </c>
      <c r="B6" s="10" t="inlineStr">
        <is>
          <t>GD-25-006792</t>
        </is>
      </c>
      <c r="C6" s="10" t="inlineStr">
        <is>
          <t>925 Jackman Ave</t>
        </is>
      </c>
      <c r="D6" s="10" t="inlineStr">
        <is>
          <t>Pittsburgh</t>
        </is>
      </c>
      <c r="E6" s="10" t="inlineStr">
        <is>
          <t>15202</t>
        </is>
      </c>
      <c r="F6" s="10" t="inlineStr">
        <is>
          <t>Avalon</t>
        </is>
      </c>
      <c r="G6" s="10" t="inlineStr">
        <is>
          <t>160-J-93</t>
        </is>
      </c>
      <c r="H6" s="10" t="inlineStr">
        <is>
          <t>0160-J-00093-0000-00</t>
        </is>
      </c>
      <c r="I6" s="10" t="inlineStr">
        <is>
          <t>Residential / unspecified</t>
        </is>
      </c>
      <c r="J6" s="10" t="inlineStr">
        <is>
          <t>Tax lien (Sci Fa sur tax lien)</t>
        </is>
      </c>
      <c r="K6" s="10" t="inlineStr">
        <is>
          <t>Individual</t>
        </is>
      </c>
      <c r="L6" s="10" t="inlineStr">
        <is>
          <t>Hellerman, Allen B.</t>
        </is>
      </c>
      <c r="M6" s="10" t="inlineStr">
        <is>
          <t>Borough of Avalon</t>
        </is>
      </c>
      <c r="N6" s="10" t="inlineStr">
        <is>
          <t>GOEHRING RUTTER &amp; BOEHM</t>
        </is>
      </c>
      <c r="O6" s="11" t="n">
        <v>136212.1</v>
      </c>
      <c r="P6" s="11" t="n"/>
      <c r="Q6" s="11" t="n">
        <v>136212.1</v>
      </c>
      <c r="R6" s="11" t="n"/>
      <c r="S6" s="10" t="inlineStr">
        <is>
          <t>✔ ✔ – ✔</t>
        </is>
      </c>
      <c r="T6" s="12" t="inlineStr">
        <is>
          <t>Sheriff OK box checked</t>
        </is>
      </c>
      <c r="U6" s="12" t="inlineStr"/>
      <c r="V6" s="12" t="inlineStr">
        <is>
          <t>OK TO SELL 11/2/26</t>
        </is>
      </c>
      <c r="W6" s="10" t="inlineStr">
        <is>
          <t>Avalon Boro</t>
        </is>
      </c>
      <c r="X6" s="13">
        <f>IFERROR(VLOOKUP(W6,'Transfer Tax'!$A$14:$H$400,8,FALSE),"")</f>
        <v/>
      </c>
      <c r="Y6" s="14" t="n"/>
      <c r="Z6" s="11">
        <f>IF(OR(Y6="",X6=""),"",Y6*'Transfer Tax'!$B$6*X6)</f>
        <v/>
      </c>
      <c r="AA6" s="14" t="n"/>
      <c r="AB6" s="15" t="n"/>
      <c r="AC6" s="14" t="n"/>
      <c r="AD6" s="15" t="n"/>
      <c r="AE6" s="10" t="inlineStr">
        <is>
          <t>2026-10-25</t>
        </is>
      </c>
    </row>
    <row r="7">
      <c r="A7" s="10" t="inlineStr">
        <is>
          <t>9SEP26</t>
        </is>
      </c>
      <c r="B7" s="10" t="inlineStr">
        <is>
          <t>MG-26-000258</t>
        </is>
      </c>
      <c r="C7" s="10" t="inlineStr">
        <is>
          <t>929 Sedalia Avenue</t>
        </is>
      </c>
      <c r="D7" s="10" t="inlineStr">
        <is>
          <t>Pittsburgh</t>
        </is>
      </c>
      <c r="E7" s="10" t="inlineStr">
        <is>
          <t>15202</t>
        </is>
      </c>
      <c r="F7" s="10" t="inlineStr">
        <is>
          <t>Avalon</t>
        </is>
      </c>
      <c r="G7" s="10" t="inlineStr">
        <is>
          <t>215-J-249</t>
        </is>
      </c>
      <c r="H7" s="10" t="inlineStr">
        <is>
          <t>0215-J-00249-0000-00</t>
        </is>
      </c>
      <c r="I7" s="10" t="inlineStr">
        <is>
          <t>Residential / unspecified</t>
        </is>
      </c>
      <c r="J7" s="10" t="inlineStr">
        <is>
          <t>Mortgage foreclosure</t>
        </is>
      </c>
      <c r="K7" s="10" t="inlineStr">
        <is>
          <t>Individual</t>
        </is>
      </c>
      <c r="L7" s="10" t="inlineStr">
        <is>
          <t>Henry, Autumn M.</t>
        </is>
      </c>
      <c r="M7" s="10" t="inlineStr">
        <is>
          <t>Lakeview Loan Servicing LLC</t>
        </is>
      </c>
      <c r="N7" s="10" t="inlineStr">
        <is>
          <t>KML LAW GROUP</t>
        </is>
      </c>
      <c r="O7" s="11" t="n">
        <v>2063.72</v>
      </c>
      <c r="P7" s="11" t="n"/>
      <c r="Q7" s="11" t="n">
        <v>2063.72</v>
      </c>
      <c r="R7" s="11" t="n">
        <v>94376.8</v>
      </c>
      <c r="S7" s="10" t="inlineStr">
        <is>
          <t>✔ ✔ ✔ ✔</t>
        </is>
      </c>
      <c r="T7" s="12" t="inlineStr">
        <is>
          <t>Sheriff OK box checked</t>
        </is>
      </c>
      <c r="U7" s="12" t="inlineStr"/>
      <c r="V7" s="12" t="inlineStr">
        <is>
          <t>OK TO SELL 11-2-26
O/C TO REASSESS DAMAGES TO $94,376.80</t>
        </is>
      </c>
      <c r="W7" s="10" t="inlineStr">
        <is>
          <t>Avalon Boro</t>
        </is>
      </c>
      <c r="X7" s="13">
        <f>IFERROR(VLOOKUP(W7,'Transfer Tax'!$A$14:$H$400,8,FALSE),"")</f>
        <v/>
      </c>
      <c r="Y7" s="14" t="n"/>
      <c r="Z7" s="11">
        <f>IF(OR(Y7="",X7=""),"",Y7*'Transfer Tax'!$B$6*X7)</f>
        <v/>
      </c>
      <c r="AA7" s="14" t="n"/>
      <c r="AB7" s="15" t="n"/>
      <c r="AC7" s="14" t="n"/>
      <c r="AD7" s="15" t="n"/>
      <c r="AE7" s="10" t="inlineStr">
        <is>
          <t>2026-10-25</t>
        </is>
      </c>
    </row>
    <row r="8">
      <c r="A8" s="10" t="inlineStr">
        <is>
          <t>2NOV26</t>
        </is>
      </c>
      <c r="B8" s="10" t="inlineStr">
        <is>
          <t>GD-23-010808</t>
        </is>
      </c>
      <c r="C8" s="10" t="inlineStr">
        <is>
          <t>2670 Broad Street</t>
        </is>
      </c>
      <c r="D8" s="10" t="inlineStr">
        <is>
          <t>Bethel Park</t>
        </is>
      </c>
      <c r="E8" s="10" t="inlineStr">
        <is>
          <t>15102</t>
        </is>
      </c>
      <c r="F8" s="10" t="inlineStr">
        <is>
          <t>Bethel Park</t>
        </is>
      </c>
      <c r="G8" s="10" t="inlineStr">
        <is>
          <t>476-C-23</t>
        </is>
      </c>
      <c r="H8" s="10" t="inlineStr">
        <is>
          <t>0476-C-00023-0000-00</t>
        </is>
      </c>
      <c r="I8" s="10" t="inlineStr">
        <is>
          <t>Residential / unspecified</t>
        </is>
      </c>
      <c r="J8" s="10" t="inlineStr">
        <is>
          <t>Tax lien (Sci Fa sur tax lien)</t>
        </is>
      </c>
      <c r="K8" s="10" t="inlineStr">
        <is>
          <t>Individual</t>
        </is>
      </c>
      <c r="L8" s="10" t="inlineStr">
        <is>
          <t>McGuire, Patrick T</t>
        </is>
      </c>
      <c r="M8" s="10" t="inlineStr">
        <is>
          <t>Bethel Park School District</t>
        </is>
      </c>
      <c r="N8" s="10" t="inlineStr">
        <is>
          <t>WEISS BURKARDT KRAMER LLC</t>
        </is>
      </c>
      <c r="O8" s="11" t="n">
        <v>40854.87</v>
      </c>
      <c r="P8" s="11" t="n"/>
      <c r="Q8" s="11" t="n">
        <v>40854.87</v>
      </c>
      <c r="R8" s="11" t="n"/>
      <c r="S8" s="10" t="inlineStr">
        <is>
          <t>✔ ✔ – ✔</t>
        </is>
      </c>
      <c r="T8" s="12" t="inlineStr">
        <is>
          <t>Sheriff OK box checked</t>
        </is>
      </c>
      <c r="U8" s="12" t="inlineStr"/>
      <c r="V8" s="12" t="inlineStr">
        <is>
          <t>OK TO SELL 11/2/26</t>
        </is>
      </c>
      <c r="W8" s="10" t="inlineStr">
        <is>
          <t>Bethel Park Municipality</t>
        </is>
      </c>
      <c r="X8" s="13">
        <f>IFERROR(VLOOKUP(W8,'Transfer Tax'!$A$14:$H$400,8,FALSE),"")</f>
        <v/>
      </c>
      <c r="Y8" s="14" t="n"/>
      <c r="Z8" s="11">
        <f>IF(OR(Y8="",X8=""),"",Y8*'Transfer Tax'!$B$6*X8)</f>
        <v/>
      </c>
      <c r="AA8" s="14" t="n"/>
      <c r="AB8" s="15" t="n"/>
      <c r="AC8" s="14" t="n"/>
      <c r="AD8" s="15" t="n"/>
      <c r="AE8" s="10" t="inlineStr">
        <is>
          <t>2026-10-25</t>
        </is>
      </c>
    </row>
    <row r="9">
      <c r="A9" s="10" t="inlineStr">
        <is>
          <t>8NOV26</t>
        </is>
      </c>
      <c r="B9" s="10" t="inlineStr">
        <is>
          <t>MG-22-000715</t>
        </is>
      </c>
      <c r="C9" s="10" t="inlineStr">
        <is>
          <t>442 Limestone Drive</t>
        </is>
      </c>
      <c r="D9" s="10" t="inlineStr">
        <is>
          <t>Bethel Park</t>
        </is>
      </c>
      <c r="E9" s="10" t="inlineStr">
        <is>
          <t>15102</t>
        </is>
      </c>
      <c r="F9" s="10" t="inlineStr">
        <is>
          <t>Bethel Park</t>
        </is>
      </c>
      <c r="G9" s="10" t="inlineStr">
        <is>
          <t>774-E-20</t>
        </is>
      </c>
      <c r="H9" s="10" t="inlineStr">
        <is>
          <t>0774-E-00020-0000-00</t>
        </is>
      </c>
      <c r="I9" s="10" t="inlineStr">
        <is>
          <t>Residential / unspecified</t>
        </is>
      </c>
      <c r="J9" s="10" t="inlineStr">
        <is>
          <t>Mortgage foreclosure</t>
        </is>
      </c>
      <c r="K9" s="10" t="inlineStr">
        <is>
          <t>Individual</t>
        </is>
      </c>
      <c r="L9" s="10" t="inlineStr">
        <is>
          <t>Lucido, Erin E</t>
        </is>
      </c>
      <c r="M9" s="10" t="inlineStr">
        <is>
          <t>U.S. Bank Trust National Association</t>
        </is>
      </c>
      <c r="N9" s="10" t="inlineStr">
        <is>
          <t>HLADIK ONORATO AND FEDERMAN LLP</t>
        </is>
      </c>
      <c r="O9" s="11" t="n">
        <v>14091.23</v>
      </c>
      <c r="P9" s="11" t="n"/>
      <c r="Q9" s="11" t="n">
        <v>14091.23</v>
      </c>
      <c r="R9" s="11" t="n">
        <v>324967.67</v>
      </c>
      <c r="S9" s="10" t="inlineStr">
        <is>
          <t>✔ ✔ – ✔</t>
        </is>
      </c>
      <c r="T9" s="12" t="inlineStr">
        <is>
          <t>Sheriff OK box checked</t>
        </is>
      </c>
      <c r="U9" s="12" t="inlineStr"/>
      <c r="V9" s="12" t="inlineStr">
        <is>
          <t>OK TO SELL 11/2/26
RCVD O/C TO REASSESS DAMAGES $324,967.67</t>
        </is>
      </c>
      <c r="W9" s="10" t="inlineStr">
        <is>
          <t>Bethel Park Municipality</t>
        </is>
      </c>
      <c r="X9" s="13">
        <f>IFERROR(VLOOKUP(W9,'Transfer Tax'!$A$14:$H$400,8,FALSE),"")</f>
        <v/>
      </c>
      <c r="Y9" s="14" t="n"/>
      <c r="Z9" s="11">
        <f>IF(OR(Y9="",X9=""),"",Y9*'Transfer Tax'!$B$6*X9)</f>
        <v/>
      </c>
      <c r="AA9" s="14" t="n"/>
      <c r="AB9" s="15" t="n"/>
      <c r="AC9" s="14" t="n"/>
      <c r="AD9" s="15" t="n"/>
      <c r="AE9" s="10" t="inlineStr">
        <is>
          <t>2026-10-25</t>
        </is>
      </c>
    </row>
    <row r="10">
      <c r="A10" s="10" t="inlineStr">
        <is>
          <t>50OCT26</t>
        </is>
      </c>
      <c r="B10" s="10" t="inlineStr">
        <is>
          <t>GD-25-003997</t>
        </is>
      </c>
      <c r="C10" s="10" t="inlineStr">
        <is>
          <t>5919 Dorlyn Drive</t>
        </is>
      </c>
      <c r="D10" s="10" t="inlineStr">
        <is>
          <t>Bethel Park</t>
        </is>
      </c>
      <c r="E10" s="10" t="inlineStr">
        <is>
          <t>15102</t>
        </is>
      </c>
      <c r="F10" s="10" t="inlineStr">
        <is>
          <t>Bethel Park</t>
        </is>
      </c>
      <c r="G10" s="10" t="inlineStr">
        <is>
          <t>773-A-132</t>
        </is>
      </c>
      <c r="H10" s="10" t="inlineStr">
        <is>
          <t>0773-A-00132-0000-00</t>
        </is>
      </c>
      <c r="I10" s="10" t="inlineStr">
        <is>
          <t>Residential / unspecified</t>
        </is>
      </c>
      <c r="J10" s="10" t="inlineStr">
        <is>
          <t>Tax lien (Sci Fa sur tax lien)</t>
        </is>
      </c>
      <c r="K10" s="10" t="inlineStr">
        <is>
          <t>Individual</t>
        </is>
      </c>
      <c r="L10" s="10" t="inlineStr">
        <is>
          <t>Slifer, Richel</t>
        </is>
      </c>
      <c r="M10" s="10" t="inlineStr">
        <is>
          <t>County of Allegheny</t>
        </is>
      </c>
      <c r="N10" s="10" t="inlineStr">
        <is>
          <t>GOEHRING RUTTER &amp; BOEHM</t>
        </is>
      </c>
      <c r="O10" s="11" t="n">
        <v>38158.07</v>
      </c>
      <c r="P10" s="11" t="n"/>
      <c r="Q10" s="11" t="n">
        <v>38158.07</v>
      </c>
      <c r="R10" s="11" t="n"/>
      <c r="S10" s="10" t="inlineStr">
        <is>
          <t>✔ ✔ ✔ ✔</t>
        </is>
      </c>
      <c r="T10" s="12" t="inlineStr">
        <is>
          <t>Sheriff OK box checked</t>
        </is>
      </c>
      <c r="U10" s="12" t="inlineStr"/>
      <c r="V10" s="12" t="inlineStr">
        <is>
          <t>OK TO SELL 11-2-26</t>
        </is>
      </c>
      <c r="W10" s="10" t="inlineStr">
        <is>
          <t>Bethel Park Municipality</t>
        </is>
      </c>
      <c r="X10" s="13">
        <f>IFERROR(VLOOKUP(W10,'Transfer Tax'!$A$14:$H$400,8,FALSE),"")</f>
        <v/>
      </c>
      <c r="Y10" s="14" t="n"/>
      <c r="Z10" s="11">
        <f>IF(OR(Y10="",X10=""),"",Y10*'Transfer Tax'!$B$6*X10)</f>
        <v/>
      </c>
      <c r="AA10" s="14" t="n"/>
      <c r="AB10" s="15" t="n"/>
      <c r="AC10" s="14" t="n"/>
      <c r="AD10" s="15" t="n"/>
      <c r="AE10" s="10" t="inlineStr">
        <is>
          <t>2026-10-25</t>
        </is>
      </c>
    </row>
    <row r="11">
      <c r="A11" s="10" t="inlineStr">
        <is>
          <t>64NOV26</t>
        </is>
      </c>
      <c r="B11" s="10" t="inlineStr">
        <is>
          <t>MG-26-000083</t>
        </is>
      </c>
      <c r="C11" s="10" t="inlineStr">
        <is>
          <t>213 Comrie Avenue</t>
        </is>
      </c>
      <c r="D11" s="10" t="inlineStr">
        <is>
          <t>Braddock</t>
        </is>
      </c>
      <c r="E11" s="10" t="inlineStr">
        <is>
          <t>15104</t>
        </is>
      </c>
      <c r="F11" s="10" t="inlineStr">
        <is>
          <t>Braddock</t>
        </is>
      </c>
      <c r="G11" s="10" t="inlineStr">
        <is>
          <t>236-M-311</t>
        </is>
      </c>
      <c r="H11" s="10" t="inlineStr">
        <is>
          <t>0236-M-00311-0000-00</t>
        </is>
      </c>
      <c r="I11" s="10" t="inlineStr">
        <is>
          <t>Residential / unspecified</t>
        </is>
      </c>
      <c r="J11" s="10" t="inlineStr">
        <is>
          <t>Mortgage foreclosure</t>
        </is>
      </c>
      <c r="K11" s="10" t="inlineStr">
        <is>
          <t>Individual</t>
        </is>
      </c>
      <c r="L11" s="10" t="inlineStr">
        <is>
          <t>Strozier, Erica R.</t>
        </is>
      </c>
      <c r="M11" s="10" t="inlineStr">
        <is>
          <t>Pennsylvania Housing Finance Agency</t>
        </is>
      </c>
      <c r="N11" s="10" t="inlineStr">
        <is>
          <t>PURCELL KRUG &amp; HALLER</t>
        </is>
      </c>
      <c r="O11" s="11" t="n">
        <v>2108.6</v>
      </c>
      <c r="P11" s="11" t="n"/>
      <c r="Q11" s="11" t="n">
        <v>2108.6</v>
      </c>
      <c r="R11" s="11" t="n"/>
      <c r="S11" s="10" t="inlineStr">
        <is>
          <t>✔ ✔ – ✔</t>
        </is>
      </c>
      <c r="T11" s="12" t="inlineStr">
        <is>
          <t>Sheriff OK box checked</t>
        </is>
      </c>
      <c r="U11" s="12" t="inlineStr"/>
      <c r="V11" s="12" t="inlineStr">
        <is>
          <t>OK TO SELL 11/2/26</t>
        </is>
      </c>
      <c r="W11" s="10" t="inlineStr">
        <is>
          <t>Braddock Boro</t>
        </is>
      </c>
      <c r="X11" s="13">
        <f>IFERROR(VLOOKUP(W11,'Transfer Tax'!$A$14:$H$400,8,FALSE),"")</f>
        <v/>
      </c>
      <c r="Y11" s="14" t="n"/>
      <c r="Z11" s="11">
        <f>IF(OR(Y11="",X11=""),"",Y11*'Transfer Tax'!$B$6*X11)</f>
        <v/>
      </c>
      <c r="AA11" s="14" t="n"/>
      <c r="AB11" s="15" t="n"/>
      <c r="AC11" s="14" t="n"/>
      <c r="AD11" s="15" t="n"/>
      <c r="AE11" s="10" t="inlineStr">
        <is>
          <t>2026-10-25</t>
        </is>
      </c>
    </row>
    <row r="12">
      <c r="A12" s="10" t="inlineStr">
        <is>
          <t>67MAR26</t>
        </is>
      </c>
      <c r="B12" s="10" t="inlineStr">
        <is>
          <t>MG-25-000393</t>
        </is>
      </c>
      <c r="C12" s="10" t="inlineStr">
        <is>
          <t>125 Olancha Avenue</t>
        </is>
      </c>
      <c r="D12" s="10" t="inlineStr">
        <is>
          <t>Pittsburgh</t>
        </is>
      </c>
      <c r="E12" s="10" t="inlineStr">
        <is>
          <t>15227</t>
        </is>
      </c>
      <c r="F12" s="10" t="inlineStr">
        <is>
          <t>Brentwood</t>
        </is>
      </c>
      <c r="G12" s="10" t="inlineStr">
        <is>
          <t>188-F-198</t>
        </is>
      </c>
      <c r="H12" s="10" t="inlineStr">
        <is>
          <t>0188-F-00198-0000-00</t>
        </is>
      </c>
      <c r="I12" s="10" t="inlineStr">
        <is>
          <t>Residential / unspecified</t>
        </is>
      </c>
      <c r="J12" s="10" t="inlineStr">
        <is>
          <t>Mortgage foreclosure</t>
        </is>
      </c>
      <c r="K12" s="10" t="inlineStr">
        <is>
          <t>Individual</t>
        </is>
      </c>
      <c r="L12" s="10" t="inlineStr">
        <is>
          <t>Lucas, Christina Kathryn</t>
        </is>
      </c>
      <c r="M12" s="10" t="inlineStr">
        <is>
          <t>Lakeview Loan Servicing LLC</t>
        </is>
      </c>
      <c r="N12" s="10" t="inlineStr">
        <is>
          <t>HLADIK ONORATO AND FEDERMAN LLP</t>
        </is>
      </c>
      <c r="O12" s="11" t="n">
        <v>6387.14</v>
      </c>
      <c r="P12" s="11" t="n"/>
      <c r="Q12" s="11" t="n">
        <v>6387.14</v>
      </c>
      <c r="R12" s="11" t="n"/>
      <c r="S12" s="10" t="inlineStr">
        <is>
          <t>✔ ✔ ✔ ✔</t>
        </is>
      </c>
      <c r="T12" s="12" t="inlineStr">
        <is>
          <t>Sheriff OK box checked</t>
        </is>
      </c>
      <c r="U12" s="12" t="inlineStr"/>
      <c r="V12" s="12" t="inlineStr">
        <is>
          <t>OK TO SELL 11-2-26</t>
        </is>
      </c>
      <c r="W12" s="10" t="inlineStr">
        <is>
          <t>Brentwood Boro</t>
        </is>
      </c>
      <c r="X12" s="13">
        <f>IFERROR(VLOOKUP(W12,'Transfer Tax'!$A$14:$H$400,8,FALSE),"")</f>
        <v/>
      </c>
      <c r="Y12" s="14" t="n"/>
      <c r="Z12" s="11">
        <f>IF(OR(Y12="",X12=""),"",Y12*'Transfer Tax'!$B$6*X12)</f>
        <v/>
      </c>
      <c r="AA12" s="14" t="n"/>
      <c r="AB12" s="15" t="n"/>
      <c r="AC12" s="14" t="n"/>
      <c r="AD12" s="15" t="n"/>
      <c r="AE12" s="10" t="inlineStr">
        <is>
          <t>2026-10-25</t>
        </is>
      </c>
    </row>
    <row r="13">
      <c r="A13" s="10" t="inlineStr">
        <is>
          <t>2NOV24</t>
        </is>
      </c>
      <c r="B13" s="10" t="inlineStr">
        <is>
          <t>GD-23-014272</t>
        </is>
      </c>
      <c r="C13" s="10" t="inlineStr">
        <is>
          <t>61 Bellanca Avenue</t>
        </is>
      </c>
      <c r="D13" s="10" t="inlineStr">
        <is>
          <t>Pittsburgh</t>
        </is>
      </c>
      <c r="E13" s="10" t="inlineStr">
        <is>
          <t>15227</t>
        </is>
      </c>
      <c r="F13" s="10" t="inlineStr">
        <is>
          <t>Brentwood</t>
        </is>
      </c>
      <c r="G13" s="10" t="inlineStr">
        <is>
          <t>137-E-315</t>
        </is>
      </c>
      <c r="H13" s="10" t="inlineStr">
        <is>
          <t>0137-E-00315-0000-00</t>
        </is>
      </c>
      <c r="I13" s="10" t="inlineStr">
        <is>
          <t>Residential / unspecified</t>
        </is>
      </c>
      <c r="J13" s="10" t="inlineStr">
        <is>
          <t>Tax lien (Sci Fa sur tax lien)</t>
        </is>
      </c>
      <c r="K13" s="10" t="inlineStr">
        <is>
          <t>Individual</t>
        </is>
      </c>
      <c r="L13" s="10" t="inlineStr">
        <is>
          <t>Riland, Laura J</t>
        </is>
      </c>
      <c r="M13" s="10" t="inlineStr">
        <is>
          <t>Brentwood Borough School District</t>
        </is>
      </c>
      <c r="N13" s="10" t="inlineStr">
        <is>
          <t>TUCKER ARENSBURG PC</t>
        </is>
      </c>
      <c r="O13" s="11" t="n">
        <v>66430.88</v>
      </c>
      <c r="P13" s="11" t="n">
        <v>14000</v>
      </c>
      <c r="Q13" s="11" t="n">
        <v>14000</v>
      </c>
      <c r="R13" s="11" t="n">
        <v>38493.85</v>
      </c>
      <c r="S13" s="10" t="inlineStr">
        <is>
          <t>✔ ✔ ✔ ✔</t>
        </is>
      </c>
      <c r="T13" s="12" t="inlineStr">
        <is>
          <t>Sheriff OK box checked</t>
        </is>
      </c>
      <c r="U13" s="12" t="inlineStr">
        <is>
          <t>Free &amp; clear court order, min bid $14,000.00
Bankruptcy history: 2 filing(s)</t>
        </is>
      </c>
      <c r="V13" s="12" t="inlineStr">
        <is>
          <t>OK TO SELL 11-2-26
F/C O/C FOR A MIN BID OF $14,000.00
CHP 13 BK FILED ON 10-31-24 CN-24-22661-GLT
BKD RCVD 3-7-25
CHP 13 BK RCVD ON 4-25-25 CN-25-21038 -GLT
BKD RCVD 9-18-25
O/C RO REASSESS DAMAGES TO $38,493.85 7-21-26
O/C RO REASSESS DAMAGES TO $35,235.20 4-22-26
O/C RO REASSESS DAMAGES TO $29,124.44 10-14-25
O/C TO REASSESS DAMAGES TO $23,920.08 3-7-25</t>
        </is>
      </c>
      <c r="W13" s="10" t="inlineStr">
        <is>
          <t>Brentwood Boro</t>
        </is>
      </c>
      <c r="X13" s="13">
        <f>IFERROR(VLOOKUP(W13,'Transfer Tax'!$A$14:$H$400,8,FALSE),"")</f>
        <v/>
      </c>
      <c r="Y13" s="14" t="n"/>
      <c r="Z13" s="11">
        <f>IF(OR(Y13="",X13=""),"",Y13*'Transfer Tax'!$B$6*X13)</f>
        <v/>
      </c>
      <c r="AA13" s="14" t="n"/>
      <c r="AB13" s="15" t="n"/>
      <c r="AC13" s="14" t="n"/>
      <c r="AD13" s="15" t="n"/>
      <c r="AE13" s="10" t="inlineStr">
        <is>
          <t>2026-10-25</t>
        </is>
      </c>
    </row>
    <row r="14">
      <c r="A14" s="10" t="inlineStr">
        <is>
          <t>95NOV26</t>
        </is>
      </c>
      <c r="B14" s="10" t="inlineStr">
        <is>
          <t>GD-24-011416</t>
        </is>
      </c>
      <c r="C14" s="10" t="inlineStr">
        <is>
          <t>1061 Bank Street</t>
        </is>
      </c>
      <c r="D14" s="10" t="inlineStr">
        <is>
          <t>Bridgeville</t>
        </is>
      </c>
      <c r="E14" s="10" t="inlineStr">
        <is>
          <t>15017</t>
        </is>
      </c>
      <c r="F14" s="10" t="inlineStr">
        <is>
          <t>Bridgeville</t>
        </is>
      </c>
      <c r="G14" s="10" t="inlineStr">
        <is>
          <t>322-G-230</t>
        </is>
      </c>
      <c r="H14" s="10" t="inlineStr">
        <is>
          <t>0322-G-00230-0000-00</t>
        </is>
      </c>
      <c r="I14" s="10" t="inlineStr">
        <is>
          <t>Residential / unspecified</t>
        </is>
      </c>
      <c r="J14" s="10" t="inlineStr">
        <is>
          <t>Tax lien (Sci Fa sur tax lien)</t>
        </is>
      </c>
      <c r="K14" s="10" t="inlineStr">
        <is>
          <t>Individual</t>
        </is>
      </c>
      <c r="L14" s="10" t="inlineStr">
        <is>
          <t>Cawley, Matthew</t>
        </is>
      </c>
      <c r="M14" s="10" t="inlineStr">
        <is>
          <t>BOROUGH OF BRIDGEVILLE</t>
        </is>
      </c>
      <c r="N14" s="10" t="inlineStr">
        <is>
          <t>GOEHRING RUTTER &amp; BOEHM</t>
        </is>
      </c>
      <c r="O14" s="11" t="n">
        <v>24361.38</v>
      </c>
      <c r="P14" s="11" t="n"/>
      <c r="Q14" s="11" t="n">
        <v>24361.38</v>
      </c>
      <c r="R14" s="11" t="n"/>
      <c r="S14" s="10" t="inlineStr">
        <is>
          <t>✔ ✔ – ✔</t>
        </is>
      </c>
      <c r="T14" s="12" t="inlineStr">
        <is>
          <t>Sheriff OK box checked</t>
        </is>
      </c>
      <c r="U14" s="12" t="inlineStr"/>
      <c r="V14" s="12" t="inlineStr">
        <is>
          <t>OK TO SELL 11/2/26</t>
        </is>
      </c>
      <c r="W14" s="10" t="inlineStr">
        <is>
          <t>Bridgeville Boro</t>
        </is>
      </c>
      <c r="X14" s="13">
        <f>IFERROR(VLOOKUP(W14,'Transfer Tax'!$A$14:$H$400,8,FALSE),"")</f>
        <v/>
      </c>
      <c r="Y14" s="14" t="n"/>
      <c r="Z14" s="11">
        <f>IF(OR(Y14="",X14=""),"",Y14*'Transfer Tax'!$B$6*X14)</f>
        <v/>
      </c>
      <c r="AA14" s="14" t="n"/>
      <c r="AB14" s="15" t="n"/>
      <c r="AC14" s="14" t="n"/>
      <c r="AD14" s="15" t="n"/>
      <c r="AE14" s="10" t="inlineStr">
        <is>
          <t>2026-10-25</t>
        </is>
      </c>
    </row>
    <row r="15">
      <c r="A15" s="10" t="inlineStr">
        <is>
          <t>104NOV26</t>
        </is>
      </c>
      <c r="B15" s="10" t="inlineStr">
        <is>
          <t>GD-22-007750</t>
        </is>
      </c>
      <c r="C15" s="10" t="inlineStr">
        <is>
          <t>741 Bluff Street</t>
        </is>
      </c>
      <c r="D15" s="10" t="inlineStr">
        <is>
          <t>Bridgeville</t>
        </is>
      </c>
      <c r="E15" s="10" t="inlineStr">
        <is>
          <t>15017</t>
        </is>
      </c>
      <c r="F15" s="10" t="inlineStr">
        <is>
          <t>Bridgeville</t>
        </is>
      </c>
      <c r="G15" s="10" t="inlineStr">
        <is>
          <t>255-L-228</t>
        </is>
      </c>
      <c r="H15" s="10" t="inlineStr">
        <is>
          <t>0255-L-00228-0000-00</t>
        </is>
      </c>
      <c r="I15" s="10" t="inlineStr">
        <is>
          <t>Residential / unspecified</t>
        </is>
      </c>
      <c r="J15" s="10" t="inlineStr">
        <is>
          <t>Tax lien (Sci Fa sur tax lien)</t>
        </is>
      </c>
      <c r="K15" s="10" t="inlineStr">
        <is>
          <t>Individual</t>
        </is>
      </c>
      <c r="L15" s="10" t="inlineStr">
        <is>
          <t>Hersh, Jamison</t>
        </is>
      </c>
      <c r="M15" s="10" t="inlineStr">
        <is>
          <t>BRIDGEVILLE BOROUGH</t>
        </is>
      </c>
      <c r="N15" s="10" t="inlineStr">
        <is>
          <t>GOEHRING RUTTER &amp; BOEHM</t>
        </is>
      </c>
      <c r="O15" s="11" t="n">
        <v>17246.19</v>
      </c>
      <c r="P15" s="11" t="n"/>
      <c r="Q15" s="11" t="n">
        <v>17246.19</v>
      </c>
      <c r="R15" s="11" t="n"/>
      <c r="S15" s="10" t="inlineStr">
        <is>
          <t>✔ ✔ – ✔</t>
        </is>
      </c>
      <c r="T15" s="12" t="inlineStr">
        <is>
          <t>Sheriff OK box checked</t>
        </is>
      </c>
      <c r="U15" s="12" t="inlineStr"/>
      <c r="V15" s="12" t="inlineStr">
        <is>
          <t>OK TO SELL 11/2/26</t>
        </is>
      </c>
      <c r="W15" s="10" t="inlineStr">
        <is>
          <t>Bridgeville Boro</t>
        </is>
      </c>
      <c r="X15" s="13">
        <f>IFERROR(VLOOKUP(W15,'Transfer Tax'!$A$14:$H$400,8,FALSE),"")</f>
        <v/>
      </c>
      <c r="Y15" s="14" t="n"/>
      <c r="Z15" s="11">
        <f>IF(OR(Y15="",X15=""),"",Y15*'Transfer Tax'!$B$6*X15)</f>
        <v/>
      </c>
      <c r="AA15" s="14" t="n"/>
      <c r="AB15" s="15" t="n"/>
      <c r="AC15" s="14" t="n"/>
      <c r="AD15" s="15" t="n"/>
      <c r="AE15" s="10" t="inlineStr">
        <is>
          <t>2026-10-25</t>
        </is>
      </c>
    </row>
    <row r="16">
      <c r="A16" s="10" t="inlineStr">
        <is>
          <t>49NOV26</t>
        </is>
      </c>
      <c r="B16" s="10" t="inlineStr">
        <is>
          <t>MG-26-000215</t>
        </is>
      </c>
      <c r="C16" s="10" t="inlineStr">
        <is>
          <t>333 Thomas St</t>
        </is>
      </c>
      <c r="D16" s="10" t="inlineStr">
        <is>
          <t>Carnegie</t>
        </is>
      </c>
      <c r="E16" s="10" t="inlineStr">
        <is>
          <t>15106</t>
        </is>
      </c>
      <c r="F16" s="10" t="inlineStr">
        <is>
          <t>Carnegie</t>
        </is>
      </c>
      <c r="G16" s="10" t="inlineStr">
        <is>
          <t>104-R-236</t>
        </is>
      </c>
      <c r="H16" s="10" t="inlineStr">
        <is>
          <t>0104-R-00236-0000-00</t>
        </is>
      </c>
      <c r="I16" s="10" t="inlineStr">
        <is>
          <t>Residential / unspecified</t>
        </is>
      </c>
      <c r="J16" s="10" t="inlineStr">
        <is>
          <t>Mortgage foreclosure</t>
        </is>
      </c>
      <c r="K16" s="10" t="inlineStr">
        <is>
          <t>Individual</t>
        </is>
      </c>
      <c r="L16" s="10" t="inlineStr">
        <is>
          <t>Augustin, Mario Dean</t>
        </is>
      </c>
      <c r="M16" s="10" t="inlineStr">
        <is>
          <t>New American Funding LLC</t>
        </is>
      </c>
      <c r="N16" s="10" t="inlineStr">
        <is>
          <t>FEIN SUCH KAHN &amp; SHEPARD</t>
        </is>
      </c>
      <c r="O16" s="11" t="n">
        <v>3718.93</v>
      </c>
      <c r="P16" s="11" t="n"/>
      <c r="Q16" s="11" t="n">
        <v>3718.93</v>
      </c>
      <c r="R16" s="11" t="n"/>
      <c r="S16" s="10" t="inlineStr">
        <is>
          <t>✔ ✔ – ✔</t>
        </is>
      </c>
      <c r="T16" s="12" t="inlineStr">
        <is>
          <t>Sheriff OK box checked</t>
        </is>
      </c>
      <c r="U16" s="12" t="inlineStr"/>
      <c r="V16" s="12" t="inlineStr">
        <is>
          <t>OK TO SELL 11/2/26</t>
        </is>
      </c>
      <c r="W16" s="10" t="inlineStr">
        <is>
          <t>Carnegie Boro</t>
        </is>
      </c>
      <c r="X16" s="13">
        <f>IFERROR(VLOOKUP(W16,'Transfer Tax'!$A$14:$H$400,8,FALSE),"")</f>
        <v/>
      </c>
      <c r="Y16" s="14" t="n"/>
      <c r="Z16" s="11">
        <f>IF(OR(Y16="",X16=""),"",Y16*'Transfer Tax'!$B$6*X16)</f>
        <v/>
      </c>
      <c r="AA16" s="14" t="n"/>
      <c r="AB16" s="15" t="n"/>
      <c r="AC16" s="14" t="n"/>
      <c r="AD16" s="15" t="n"/>
      <c r="AE16" s="10" t="inlineStr">
        <is>
          <t>2026-10-25</t>
        </is>
      </c>
    </row>
    <row r="17">
      <c r="A17" s="10" t="inlineStr">
        <is>
          <t>98SEP26</t>
        </is>
      </c>
      <c r="B17" s="10" t="inlineStr">
        <is>
          <t>MG-25-001016</t>
        </is>
      </c>
      <c r="C17" s="10" t="inlineStr">
        <is>
          <t>204 Saxonwald Lane</t>
        </is>
      </c>
      <c r="D17" s="10" t="inlineStr">
        <is>
          <t>Pittsburgh</t>
        </is>
      </c>
      <c r="E17" s="10" t="inlineStr">
        <is>
          <t>15234</t>
        </is>
      </c>
      <c r="F17" s="10" t="inlineStr">
        <is>
          <t>Castle Shannon</t>
        </is>
      </c>
      <c r="G17" s="10" t="inlineStr">
        <is>
          <t>190-P-208-6</t>
        </is>
      </c>
      <c r="H17" s="10" t="inlineStr">
        <is>
          <t>search by address</t>
        </is>
      </c>
      <c r="I17" s="10" t="inlineStr">
        <is>
          <t>Condominium</t>
        </is>
      </c>
      <c r="J17" s="10" t="inlineStr">
        <is>
          <t>Mortgage foreclosure</t>
        </is>
      </c>
      <c r="K17" s="10" t="inlineStr">
        <is>
          <t>Individual</t>
        </is>
      </c>
      <c r="L17" s="10" t="inlineStr">
        <is>
          <t>Novelli, Ryan</t>
        </is>
      </c>
      <c r="M17" s="10" t="inlineStr">
        <is>
          <t>Citizens Bank N.A.</t>
        </is>
      </c>
      <c r="N17" s="10" t="inlineStr">
        <is>
          <t>BROCK &amp; SCOTT PLLC</t>
        </is>
      </c>
      <c r="O17" s="11" t="n">
        <v>2430.86</v>
      </c>
      <c r="P17" s="11" t="n"/>
      <c r="Q17" s="11" t="n">
        <v>2430.86</v>
      </c>
      <c r="R17" s="11" t="n"/>
      <c r="S17" s="10" t="inlineStr">
        <is>
          <t>✔ ✔ ✔ ✔</t>
        </is>
      </c>
      <c r="T17" s="12" t="inlineStr">
        <is>
          <t>Sheriff OK box checked</t>
        </is>
      </c>
      <c r="U17" s="12" t="inlineStr"/>
      <c r="V17" s="12" t="inlineStr">
        <is>
          <t>OK TO SELL 11-2-26</t>
        </is>
      </c>
      <c r="W17" s="10" t="inlineStr">
        <is>
          <t>Castle Shannon Boro</t>
        </is>
      </c>
      <c r="X17" s="13">
        <f>IFERROR(VLOOKUP(W17,'Transfer Tax'!$A$14:$H$400,8,FALSE),"")</f>
        <v/>
      </c>
      <c r="Y17" s="14" t="n"/>
      <c r="Z17" s="11">
        <f>IF(OR(Y17="",X17=""),"",Y17*'Transfer Tax'!$B$6*X17)</f>
        <v/>
      </c>
      <c r="AA17" s="14" t="n"/>
      <c r="AB17" s="15" t="n"/>
      <c r="AC17" s="14" t="n"/>
      <c r="AD17" s="15" t="n"/>
      <c r="AE17" s="10" t="inlineStr">
        <is>
          <t>2026-10-25</t>
        </is>
      </c>
    </row>
    <row r="18">
      <c r="A18" s="10" t="inlineStr">
        <is>
          <t>113JUL26</t>
        </is>
      </c>
      <c r="B18" s="10" t="inlineStr">
        <is>
          <t>GD-24-009514</t>
        </is>
      </c>
      <c r="C18" s="10" t="inlineStr">
        <is>
          <t>1102 Gary Ave</t>
        </is>
      </c>
      <c r="D18" s="10" t="inlineStr">
        <is>
          <t>Clairton</t>
        </is>
      </c>
      <c r="E18" s="10" t="inlineStr">
        <is>
          <t>15025</t>
        </is>
      </c>
      <c r="F18" s="10" t="inlineStr">
        <is>
          <t>Clairton</t>
        </is>
      </c>
      <c r="G18" s="10" t="inlineStr">
        <is>
          <t>879-J-111</t>
        </is>
      </c>
      <c r="H18" s="10" t="inlineStr">
        <is>
          <t>0879-J-00111-0000-00</t>
        </is>
      </c>
      <c r="I18" s="10" t="inlineStr">
        <is>
          <t>Residential / unspecified</t>
        </is>
      </c>
      <c r="J18" s="10" t="inlineStr">
        <is>
          <t>Tax lien (Sci Fa sur tax lien)</t>
        </is>
      </c>
      <c r="K18" s="10" t="inlineStr">
        <is>
          <t>Individual</t>
        </is>
      </c>
      <c r="L18" s="10" t="inlineStr">
        <is>
          <t>NIKLAS JR, DAVID A.</t>
        </is>
      </c>
      <c r="M18" s="10" t="inlineStr">
        <is>
          <t>County of Allegheny</t>
        </is>
      </c>
      <c r="N18" s="10" t="inlineStr">
        <is>
          <t>GOEHRING RUTTER &amp; BOEHM</t>
        </is>
      </c>
      <c r="O18" s="11" t="n">
        <v>27435.33</v>
      </c>
      <c r="P18" s="11" t="n">
        <v>7600</v>
      </c>
      <c r="Q18" s="11" t="n">
        <v>7600</v>
      </c>
      <c r="R18" s="11" t="n"/>
      <c r="S18" s="10" t="inlineStr">
        <is>
          <t>✔ ✔ ✔ ✔</t>
        </is>
      </c>
      <c r="T18" s="12" t="inlineStr">
        <is>
          <t>Sheriff OK box checked</t>
        </is>
      </c>
      <c r="U18" s="12" t="inlineStr">
        <is>
          <t>Free &amp; clear court order, min bid $7,600.00</t>
        </is>
      </c>
      <c r="V18" s="12" t="inlineStr">
        <is>
          <t>OK TO SELL 11-2-26
F/C O/C FOR A MIN BID OF $7,600.00</t>
        </is>
      </c>
      <c r="W18" s="10" t="inlineStr">
        <is>
          <t>Clairton City</t>
        </is>
      </c>
      <c r="X18" s="13">
        <f>IFERROR(VLOOKUP(W18,'Transfer Tax'!$A$14:$H$400,8,FALSE),"")</f>
        <v/>
      </c>
      <c r="Y18" s="14" t="n"/>
      <c r="Z18" s="11">
        <f>IF(OR(Y18="",X18=""),"",Y18*'Transfer Tax'!$B$6*X18)</f>
        <v/>
      </c>
      <c r="AA18" s="14" t="n"/>
      <c r="AB18" s="15" t="n"/>
      <c r="AC18" s="14" t="n"/>
      <c r="AD18" s="15" t="n"/>
      <c r="AE18" s="10" t="inlineStr">
        <is>
          <t>2026-10-25</t>
        </is>
      </c>
    </row>
    <row r="19">
      <c r="A19" s="10" t="inlineStr">
        <is>
          <t>22OCT26</t>
        </is>
      </c>
      <c r="B19" s="10" t="inlineStr">
        <is>
          <t>MG-24-000540</t>
        </is>
      </c>
      <c r="C19" s="10" t="inlineStr">
        <is>
          <t>100 Scott Way</t>
        </is>
      </c>
      <c r="D19" s="10" t="inlineStr">
        <is>
          <t>Carnegie</t>
        </is>
      </c>
      <c r="E19" s="10" t="inlineStr">
        <is>
          <t>15106</t>
        </is>
      </c>
      <c r="F19" s="10" t="inlineStr">
        <is>
          <t>Collier</t>
        </is>
      </c>
      <c r="G19" s="10" t="inlineStr">
        <is>
          <t>147-F-34</t>
        </is>
      </c>
      <c r="H19" s="10" t="inlineStr">
        <is>
          <t>0147-F-00034-0000-00</t>
        </is>
      </c>
      <c r="I19" s="10" t="inlineStr">
        <is>
          <t>Residential / unspecified</t>
        </is>
      </c>
      <c r="J19" s="10" t="inlineStr">
        <is>
          <t>Mortgage foreclosure</t>
        </is>
      </c>
      <c r="K19" s="10" t="inlineStr">
        <is>
          <t>Individual</t>
        </is>
      </c>
      <c r="L19" s="10" t="inlineStr">
        <is>
          <t>Mulligan, Patrick J.</t>
        </is>
      </c>
      <c r="M19" s="10" t="inlineStr">
        <is>
          <t>Midfirst Bank</t>
        </is>
      </c>
      <c r="N19" s="10" t="inlineStr">
        <is>
          <t>KML LAW GROUP</t>
        </is>
      </c>
      <c r="O19" s="11" t="n">
        <v>26281.37</v>
      </c>
      <c r="P19" s="11" t="n"/>
      <c r="Q19" s="11" t="n">
        <v>26281.37</v>
      </c>
      <c r="R19" s="11" t="n"/>
      <c r="S19" s="10" t="inlineStr">
        <is>
          <t>✔ ✔ ✔ ✔</t>
        </is>
      </c>
      <c r="T19" s="12" t="inlineStr">
        <is>
          <t>Sheriff OK box checked</t>
        </is>
      </c>
      <c r="U19" s="12" t="inlineStr"/>
      <c r="V19" s="12" t="inlineStr">
        <is>
          <t>OK TO SELL 11-2-26</t>
        </is>
      </c>
      <c r="W19" s="10" t="inlineStr">
        <is>
          <t>Collier Twp</t>
        </is>
      </c>
      <c r="X19" s="13">
        <f>IFERROR(VLOOKUP(W19,'Transfer Tax'!$A$14:$H$400,8,FALSE),"")</f>
        <v/>
      </c>
      <c r="Y19" s="14" t="n"/>
      <c r="Z19" s="11">
        <f>IF(OR(Y19="",X19=""),"",Y19*'Transfer Tax'!$B$6*X19)</f>
        <v/>
      </c>
      <c r="AA19" s="14" t="n"/>
      <c r="AB19" s="15" t="n"/>
      <c r="AC19" s="14" t="n"/>
      <c r="AD19" s="15" t="n"/>
      <c r="AE19" s="10" t="inlineStr">
        <is>
          <t>2026-10-25</t>
        </is>
      </c>
    </row>
    <row r="20">
      <c r="A20" s="10" t="inlineStr">
        <is>
          <t>145NOV26</t>
        </is>
      </c>
      <c r="B20" s="10" t="inlineStr">
        <is>
          <t>GD-25-013374</t>
        </is>
      </c>
      <c r="C20" s="10" t="inlineStr">
        <is>
          <t>30 Elmwood St</t>
        </is>
      </c>
      <c r="D20" s="10" t="inlineStr">
        <is>
          <t>Pittsburgh</t>
        </is>
      </c>
      <c r="E20" s="10" t="inlineStr">
        <is>
          <t>15205</t>
        </is>
      </c>
      <c r="F20" s="10" t="inlineStr">
        <is>
          <t>Crafton</t>
        </is>
      </c>
      <c r="G20" s="10" t="inlineStr">
        <is>
          <t>39-B-282</t>
        </is>
      </c>
      <c r="H20" s="10" t="inlineStr">
        <is>
          <t>0039-B-00282-0000-00</t>
        </is>
      </c>
      <c r="I20" s="10" t="inlineStr">
        <is>
          <t>Residential / unspecified</t>
        </is>
      </c>
      <c r="J20" s="10" t="inlineStr">
        <is>
          <t>Tax lien (Sci Fa sur tax lien)</t>
        </is>
      </c>
      <c r="K20" s="10" t="inlineStr">
        <is>
          <t>Individual</t>
        </is>
      </c>
      <c r="L20" s="10" t="inlineStr">
        <is>
          <t>Corcoran, Gloria D.</t>
        </is>
      </c>
      <c r="M20" s="10" t="inlineStr">
        <is>
          <t>Borough of Crafton</t>
        </is>
      </c>
      <c r="N20" s="10" t="inlineStr">
        <is>
          <t>GOEHRING RUTTER &amp; BOEHM</t>
        </is>
      </c>
      <c r="O20" s="11" t="n">
        <v>57841.47</v>
      </c>
      <c r="P20" s="11" t="n"/>
      <c r="Q20" s="11" t="n">
        <v>57841.47</v>
      </c>
      <c r="R20" s="11" t="n"/>
      <c r="S20" s="10" t="inlineStr">
        <is>
          <t>✔ ✔ – ✔</t>
        </is>
      </c>
      <c r="T20" s="12" t="inlineStr">
        <is>
          <t>Sheriff OK box checked</t>
        </is>
      </c>
      <c r="U20" s="12" t="inlineStr"/>
      <c r="V20" s="12" t="inlineStr">
        <is>
          <t>OK TO SELL 11/2/26</t>
        </is>
      </c>
      <c r="W20" s="10" t="inlineStr">
        <is>
          <t>Crafton Boro</t>
        </is>
      </c>
      <c r="X20" s="13">
        <f>IFERROR(VLOOKUP(W20,'Transfer Tax'!$A$14:$H$400,8,FALSE),"")</f>
        <v/>
      </c>
      <c r="Y20" s="14" t="n"/>
      <c r="Z20" s="11">
        <f>IF(OR(Y20="",X20=""),"",Y20*'Transfer Tax'!$B$6*X20)</f>
        <v/>
      </c>
      <c r="AA20" s="14" t="n"/>
      <c r="AB20" s="15" t="n"/>
      <c r="AC20" s="14" t="n"/>
      <c r="AD20" s="15" t="n"/>
      <c r="AE20" s="10" t="inlineStr">
        <is>
          <t>2026-10-25</t>
        </is>
      </c>
    </row>
    <row r="21">
      <c r="A21" s="10" t="inlineStr">
        <is>
          <t>134NOV26</t>
        </is>
      </c>
      <c r="B21" s="10" t="inlineStr">
        <is>
          <t>MG-26-000008</t>
        </is>
      </c>
      <c r="C21" s="10" t="inlineStr">
        <is>
          <t>90 Dinsmore Avenue</t>
        </is>
      </c>
      <c r="D21" s="10" t="inlineStr">
        <is>
          <t>Pittsburgh</t>
        </is>
      </c>
      <c r="E21" s="10" t="inlineStr">
        <is>
          <t>15205</t>
        </is>
      </c>
      <c r="F21" s="10" t="inlineStr">
        <is>
          <t>Crafton</t>
        </is>
      </c>
      <c r="G21" s="10" t="inlineStr">
        <is>
          <t>40-N-121</t>
        </is>
      </c>
      <c r="H21" s="10" t="inlineStr">
        <is>
          <t>0040-N-00121-0000-00</t>
        </is>
      </c>
      <c r="I21" s="10" t="inlineStr">
        <is>
          <t>Residential / unspecified</t>
        </is>
      </c>
      <c r="J21" s="10" t="inlineStr">
        <is>
          <t>Mortgage foreclosure</t>
        </is>
      </c>
      <c r="K21" s="10" t="inlineStr">
        <is>
          <t>Individual</t>
        </is>
      </c>
      <c r="L21" s="10" t="inlineStr">
        <is>
          <t>Lukaszewicz, Debora</t>
        </is>
      </c>
      <c r="M21" s="10" t="inlineStr">
        <is>
          <t>Wells Fargo Bank N.A.</t>
        </is>
      </c>
      <c r="N21" s="10" t="inlineStr">
        <is>
          <t>BROCK &amp; SCOTT PLLC</t>
        </is>
      </c>
      <c r="O21" s="11" t="n">
        <v>4982.21</v>
      </c>
      <c r="P21" s="11" t="n"/>
      <c r="Q21" s="11" t="n">
        <v>4982.21</v>
      </c>
      <c r="R21" s="11" t="n"/>
      <c r="S21" s="10" t="inlineStr">
        <is>
          <t>✔ ✔ – ✔</t>
        </is>
      </c>
      <c r="T21" s="12" t="inlineStr">
        <is>
          <t>Sheriff OK box checked</t>
        </is>
      </c>
      <c r="U21" s="12" t="inlineStr"/>
      <c r="V21" s="12" t="inlineStr">
        <is>
          <t>OK TO SELL 11/2/26</t>
        </is>
      </c>
      <c r="W21" s="10" t="inlineStr">
        <is>
          <t>Crafton Boro</t>
        </is>
      </c>
      <c r="X21" s="13">
        <f>IFERROR(VLOOKUP(W21,'Transfer Tax'!$A$14:$H$400,8,FALSE),"")</f>
        <v/>
      </c>
      <c r="Y21" s="14" t="n"/>
      <c r="Z21" s="11">
        <f>IF(OR(Y21="",X21=""),"",Y21*'Transfer Tax'!$B$6*X21)</f>
        <v/>
      </c>
      <c r="AA21" s="14" t="n"/>
      <c r="AB21" s="15" t="n"/>
      <c r="AC21" s="14" t="n"/>
      <c r="AD21" s="15" t="n"/>
      <c r="AE21" s="10" t="inlineStr">
        <is>
          <t>2026-10-25</t>
        </is>
      </c>
    </row>
    <row r="22">
      <c r="A22" s="10" t="inlineStr">
        <is>
          <t>77NOV26</t>
        </is>
      </c>
      <c r="B22" s="10" t="inlineStr">
        <is>
          <t>GD-24-010617</t>
        </is>
      </c>
      <c r="C22" s="10" t="inlineStr">
        <is>
          <t>1057 Crest Dr</t>
        </is>
      </c>
      <c r="D22" s="10" t="inlineStr">
        <is>
          <t>Crescent</t>
        </is>
      </c>
      <c r="E22" s="10" t="inlineStr">
        <is>
          <t>15046</t>
        </is>
      </c>
      <c r="F22" s="10" t="inlineStr">
        <is>
          <t>Crescent</t>
        </is>
      </c>
      <c r="G22" s="10" t="inlineStr">
        <is>
          <t>811-F-380</t>
        </is>
      </c>
      <c r="H22" s="10" t="inlineStr">
        <is>
          <t>0811-F-00380-0000-00</t>
        </is>
      </c>
      <c r="I22" s="10" t="inlineStr">
        <is>
          <t>Residential / unspecified</t>
        </is>
      </c>
      <c r="J22" s="10" t="inlineStr">
        <is>
          <t>Tax lien (Sci Fa sur tax lien)</t>
        </is>
      </c>
      <c r="K22" s="10" t="inlineStr">
        <is>
          <t>Individual</t>
        </is>
      </c>
      <c r="L22" s="10" t="inlineStr">
        <is>
          <t>Miller, Tim</t>
        </is>
      </c>
      <c r="M22" s="10" t="inlineStr">
        <is>
          <t>Crescent Township</t>
        </is>
      </c>
      <c r="N22" s="10" t="inlineStr">
        <is>
          <t>WEISS BURKARDT KRAMER LLC</t>
        </is>
      </c>
      <c r="O22" s="11" t="n">
        <v>130186.34</v>
      </c>
      <c r="P22" s="11" t="n"/>
      <c r="Q22" s="11" t="n">
        <v>130186.34</v>
      </c>
      <c r="R22" s="11" t="n"/>
      <c r="S22" s="10" t="inlineStr">
        <is>
          <t>✔ ✔ – ✔</t>
        </is>
      </c>
      <c r="T22" s="12" t="inlineStr">
        <is>
          <t>Sheriff OK box checked</t>
        </is>
      </c>
      <c r="U22" s="12" t="inlineStr"/>
      <c r="V22" s="12" t="inlineStr">
        <is>
          <t>OK TO SELL 11/2/26</t>
        </is>
      </c>
      <c r="W22" s="10" t="inlineStr">
        <is>
          <t>Crescent Twp</t>
        </is>
      </c>
      <c r="X22" s="13">
        <f>IFERROR(VLOOKUP(W22,'Transfer Tax'!$A$14:$H$400,8,FALSE),"")</f>
        <v/>
      </c>
      <c r="Y22" s="14" t="n"/>
      <c r="Z22" s="11">
        <f>IF(OR(Y22="",X22=""),"",Y22*'Transfer Tax'!$B$6*X22)</f>
        <v/>
      </c>
      <c r="AA22" s="14" t="n"/>
      <c r="AB22" s="15" t="n"/>
      <c r="AC22" s="14" t="n"/>
      <c r="AD22" s="15" t="n"/>
      <c r="AE22" s="10" t="inlineStr">
        <is>
          <t>2026-10-25</t>
        </is>
      </c>
    </row>
    <row r="23">
      <c r="A23" s="10" t="inlineStr">
        <is>
          <t>86SEP26</t>
        </is>
      </c>
      <c r="B23" s="10" t="inlineStr">
        <is>
          <t>MG-25-000402</t>
        </is>
      </c>
      <c r="C23" s="10" t="inlineStr">
        <is>
          <t>963 Harper Rd</t>
        </is>
      </c>
      <c r="D23" s="10" t="inlineStr">
        <is>
          <t>Crescent</t>
        </is>
      </c>
      <c r="E23" s="10" t="inlineStr">
        <is>
          <t>15046</t>
        </is>
      </c>
      <c r="F23" s="10" t="inlineStr">
        <is>
          <t>Crescent</t>
        </is>
      </c>
      <c r="G23" s="10" t="inlineStr">
        <is>
          <t>811-B-216</t>
        </is>
      </c>
      <c r="H23" s="10" t="inlineStr">
        <is>
          <t>0811-B-00216-0000-00</t>
        </is>
      </c>
      <c r="I23" s="10" t="inlineStr">
        <is>
          <t>Residential / unspecified</t>
        </is>
      </c>
      <c r="J23" s="10" t="inlineStr">
        <is>
          <t>Mortgage foreclosure</t>
        </is>
      </c>
      <c r="K23" s="10" t="inlineStr">
        <is>
          <t>Individual</t>
        </is>
      </c>
      <c r="L23" s="10" t="inlineStr">
        <is>
          <t>Clapperton, Benjamin W.</t>
        </is>
      </c>
      <c r="M23" s="10" t="inlineStr">
        <is>
          <t>Freedom Mortgage Corporation</t>
        </is>
      </c>
      <c r="N23" s="10" t="inlineStr">
        <is>
          <t>ORLANS PC</t>
        </is>
      </c>
      <c r="O23" s="11" t="n">
        <v>3267.87</v>
      </c>
      <c r="P23" s="11" t="n"/>
      <c r="Q23" s="11" t="n">
        <v>3267.87</v>
      </c>
      <c r="R23" s="11" t="n">
        <v>252986.21</v>
      </c>
      <c r="S23" s="10" t="inlineStr">
        <is>
          <t>✔ ✔ ✔ ✔</t>
        </is>
      </c>
      <c r="T23" s="12" t="inlineStr">
        <is>
          <t>Sheriff OK box checked</t>
        </is>
      </c>
      <c r="U23" s="12" t="inlineStr"/>
      <c r="V23" s="12" t="inlineStr">
        <is>
          <t>RCVD O/C TO REASSESS DAMAGES $252,986.21
OK TO SELL 11-2-26</t>
        </is>
      </c>
      <c r="W23" s="10" t="inlineStr">
        <is>
          <t>Crescent Twp</t>
        </is>
      </c>
      <c r="X23" s="13">
        <f>IFERROR(VLOOKUP(W23,'Transfer Tax'!$A$14:$H$400,8,FALSE),"")</f>
        <v/>
      </c>
      <c r="Y23" s="14" t="n"/>
      <c r="Z23" s="11">
        <f>IF(OR(Y23="",X23=""),"",Y23*'Transfer Tax'!$B$6*X23)</f>
        <v/>
      </c>
      <c r="AA23" s="14" t="n"/>
      <c r="AB23" s="15" t="n"/>
      <c r="AC23" s="14" t="n"/>
      <c r="AD23" s="15" t="n"/>
      <c r="AE23" s="10" t="inlineStr">
        <is>
          <t>2026-10-25</t>
        </is>
      </c>
    </row>
    <row r="24">
      <c r="A24" s="10" t="inlineStr">
        <is>
          <t>34NOV26</t>
        </is>
      </c>
      <c r="B24" s="10" t="inlineStr">
        <is>
          <t>GD-22-011463</t>
        </is>
      </c>
      <c r="C24" s="10" t="inlineStr">
        <is>
          <t>423 Hillview Street</t>
        </is>
      </c>
      <c r="D24" s="10" t="inlineStr">
        <is>
          <t>Duquesne</t>
        </is>
      </c>
      <c r="E24" s="10" t="inlineStr">
        <is>
          <t>15110</t>
        </is>
      </c>
      <c r="F24" s="10" t="inlineStr">
        <is>
          <t>Duquesne</t>
        </is>
      </c>
      <c r="G24" s="10" t="inlineStr">
        <is>
          <t>305-M-78</t>
        </is>
      </c>
      <c r="H24" s="10" t="inlineStr">
        <is>
          <t>0305-M-00078-0000-00</t>
        </is>
      </c>
      <c r="I24" s="10" t="inlineStr">
        <is>
          <t>Residential / unspecified</t>
        </is>
      </c>
      <c r="J24" s="10" t="inlineStr">
        <is>
          <t>Tax lien (Sci Fa sur tax lien)</t>
        </is>
      </c>
      <c r="K24" s="10" t="inlineStr">
        <is>
          <t>Individual</t>
        </is>
      </c>
      <c r="L24" s="10" t="inlineStr">
        <is>
          <t>Hill, Sherri L</t>
        </is>
      </c>
      <c r="M24" s="10" t="inlineStr">
        <is>
          <t>Duquesne City School District</t>
        </is>
      </c>
      <c r="N24" s="10" t="inlineStr">
        <is>
          <t>KRATZENBERG &amp; LAZZARO</t>
        </is>
      </c>
      <c r="O24" s="11" t="n">
        <v>57324.9</v>
      </c>
      <c r="P24" s="11" t="n"/>
      <c r="Q24" s="11" t="n">
        <v>57324.9</v>
      </c>
      <c r="R24" s="11" t="n"/>
      <c r="S24" s="10" t="inlineStr">
        <is>
          <t>✔ ✔ – ✔</t>
        </is>
      </c>
      <c r="T24" s="12" t="inlineStr">
        <is>
          <t>Sheriff OK box checked</t>
        </is>
      </c>
      <c r="U24" s="12" t="inlineStr"/>
      <c r="V24" s="12" t="inlineStr">
        <is>
          <t>OK TO SELL 11/2/26</t>
        </is>
      </c>
      <c r="W24" s="10" t="inlineStr">
        <is>
          <t>Duquesne City</t>
        </is>
      </c>
      <c r="X24" s="13">
        <f>IFERROR(VLOOKUP(W24,'Transfer Tax'!$A$14:$H$400,8,FALSE),"")</f>
        <v/>
      </c>
      <c r="Y24" s="14" t="n"/>
      <c r="Z24" s="11">
        <f>IF(OR(Y24="",X24=""),"",Y24*'Transfer Tax'!$B$6*X24)</f>
        <v/>
      </c>
      <c r="AA24" s="14" t="n"/>
      <c r="AB24" s="15" t="n"/>
      <c r="AC24" s="14" t="n"/>
      <c r="AD24" s="15" t="n"/>
      <c r="AE24" s="10" t="inlineStr">
        <is>
          <t>2026-10-25</t>
        </is>
      </c>
    </row>
    <row r="25">
      <c r="A25" s="10" t="inlineStr">
        <is>
          <t>34SEP26</t>
        </is>
      </c>
      <c r="B25" s="10" t="inlineStr">
        <is>
          <t>MG-24-000023</t>
        </is>
      </c>
      <c r="C25" s="10" t="inlineStr">
        <is>
          <t>160 Lincoln Hall Road</t>
        </is>
      </c>
      <c r="D25" s="10" t="inlineStr">
        <is>
          <t>Elizabeth</t>
        </is>
      </c>
      <c r="E25" s="10" t="inlineStr">
        <is>
          <t>15037</t>
        </is>
      </c>
      <c r="F25" s="10" t="inlineStr">
        <is>
          <t>Elizabeth Twp</t>
        </is>
      </c>
      <c r="G25" s="10" t="inlineStr">
        <is>
          <t>1130-D-138</t>
        </is>
      </c>
      <c r="H25" s="10" t="inlineStr">
        <is>
          <t>1130-D-00138-0000-00</t>
        </is>
      </c>
      <c r="I25" s="10" t="inlineStr">
        <is>
          <t>Residential / unspecified</t>
        </is>
      </c>
      <c r="J25" s="10" t="inlineStr">
        <is>
          <t>Mortgage foreclosure</t>
        </is>
      </c>
      <c r="K25" s="10" t="inlineStr">
        <is>
          <t>Individual</t>
        </is>
      </c>
      <c r="L25" s="10" t="inlineStr">
        <is>
          <t>Miller, Jonathan M.</t>
        </is>
      </c>
      <c r="M25" s="10" t="inlineStr">
        <is>
          <t>Lakeview Loan Servicing LLC</t>
        </is>
      </c>
      <c r="N25" s="10" t="inlineStr">
        <is>
          <t>ORLANS PC</t>
        </is>
      </c>
      <c r="O25" s="11" t="n">
        <v>4210.85</v>
      </c>
      <c r="P25" s="11" t="n"/>
      <c r="Q25" s="11" t="n">
        <v>4210.85</v>
      </c>
      <c r="R25" s="11" t="n"/>
      <c r="S25" s="10" t="inlineStr">
        <is>
          <t>✔ ✔ ✔ ✔</t>
        </is>
      </c>
      <c r="T25" s="12" t="inlineStr">
        <is>
          <t>Sheriff OK box checked</t>
        </is>
      </c>
      <c r="U25" s="12" t="inlineStr"/>
      <c r="V25" s="12" t="inlineStr">
        <is>
          <t>PLEASE PROVIDE PP LETTER (3129.3 FOR THE NEXT SHERIFF SALE IS NOT A PP LETTER AND WILL NOT BE ACCEPTED, ANY PHYSICAL 3129.3 WE RECEIVE IS A $50 R&amp;I CHARGE)
PLEASE UPLOAD ALL FUTURE 3129.3 TO THE ATTORNEY PORTAL
OK TO SELL 11-2-26</t>
        </is>
      </c>
      <c r="W25" s="10" t="inlineStr">
        <is>
          <t>Elizabeth Twp</t>
        </is>
      </c>
      <c r="X25" s="13">
        <f>IFERROR(VLOOKUP(W25,'Transfer Tax'!$A$14:$H$400,8,FALSE),"")</f>
        <v/>
      </c>
      <c r="Y25" s="14" t="n"/>
      <c r="Z25" s="11">
        <f>IF(OR(Y25="",X25=""),"",Y25*'Transfer Tax'!$B$6*X25)</f>
        <v/>
      </c>
      <c r="AA25" s="14" t="n"/>
      <c r="AB25" s="15" t="n"/>
      <c r="AC25" s="14" t="n"/>
      <c r="AD25" s="15" t="n"/>
      <c r="AE25" s="10" t="inlineStr">
        <is>
          <t>2026-10-25</t>
        </is>
      </c>
    </row>
    <row r="26">
      <c r="A26" s="10" t="inlineStr">
        <is>
          <t>115JUL26</t>
        </is>
      </c>
      <c r="B26" s="10" t="inlineStr">
        <is>
          <t>GD-19-011837</t>
        </is>
      </c>
      <c r="C26" s="10" t="inlineStr">
        <is>
          <t>404 Park Ave</t>
        </is>
      </c>
      <c r="D26" s="10" t="inlineStr">
        <is>
          <t>Elizabeth</t>
        </is>
      </c>
      <c r="E26" s="10" t="inlineStr">
        <is>
          <t>15037</t>
        </is>
      </c>
      <c r="F26" s="10" t="inlineStr">
        <is>
          <t>Elizabeth Twp</t>
        </is>
      </c>
      <c r="G26" s="10" t="inlineStr">
        <is>
          <t>1132-L-254</t>
        </is>
      </c>
      <c r="H26" s="10" t="inlineStr">
        <is>
          <t>1132-L-00254-0000-00</t>
        </is>
      </c>
      <c r="I26" s="10" t="inlineStr">
        <is>
          <t>Residential / unspecified</t>
        </is>
      </c>
      <c r="J26" s="10" t="inlineStr">
        <is>
          <t>Tax lien (Sci Fa sur tax lien)</t>
        </is>
      </c>
      <c r="K26" s="10" t="inlineStr">
        <is>
          <t>Individual</t>
        </is>
      </c>
      <c r="L26" s="10" t="inlineStr">
        <is>
          <t>Detwiler, Mary Jane</t>
        </is>
      </c>
      <c r="M26" s="10" t="inlineStr">
        <is>
          <t>County of Allegheny</t>
        </is>
      </c>
      <c r="N26" s="10" t="inlineStr">
        <is>
          <t>GOEHRING RUTTER &amp; BOEHM</t>
        </is>
      </c>
      <c r="O26" s="11" t="n">
        <v>61329.1</v>
      </c>
      <c r="P26" s="11" t="n">
        <v>7800</v>
      </c>
      <c r="Q26" s="11" t="n">
        <v>7800</v>
      </c>
      <c r="R26" s="11" t="n"/>
      <c r="S26" s="10" t="inlineStr">
        <is>
          <t>✔ ✔ ✔ ✔</t>
        </is>
      </c>
      <c r="T26" s="12" t="inlineStr">
        <is>
          <t>Sheriff OK box checked</t>
        </is>
      </c>
      <c r="U26" s="12" t="inlineStr">
        <is>
          <t>Free &amp; clear court order, min bid $7,800.00
Prior winning bidder forfeited (property re-offered)</t>
        </is>
      </c>
      <c r="V26" s="12" t="inlineStr">
        <is>
          <t>OK TO SELL 11-2-26
FORFEITED 10/5/26
F/C O/C FOR A MIN BID OF $7,800.00</t>
        </is>
      </c>
      <c r="W26" s="10" t="inlineStr">
        <is>
          <t>Elizabeth Twp</t>
        </is>
      </c>
      <c r="X26" s="13">
        <f>IFERROR(VLOOKUP(W26,'Transfer Tax'!$A$14:$H$400,8,FALSE),"")</f>
        <v/>
      </c>
      <c r="Y26" s="14" t="n"/>
      <c r="Z26" s="11">
        <f>IF(OR(Y26="",X26=""),"",Y26*'Transfer Tax'!$B$6*X26)</f>
        <v/>
      </c>
      <c r="AA26" s="14" t="n"/>
      <c r="AB26" s="15" t="n"/>
      <c r="AC26" s="14" t="n"/>
      <c r="AD26" s="15" t="n"/>
      <c r="AE26" s="10" t="inlineStr">
        <is>
          <t>2026-10-25</t>
        </is>
      </c>
    </row>
    <row r="27">
      <c r="A27" s="10" t="inlineStr">
        <is>
          <t>32NOV26</t>
        </is>
      </c>
      <c r="B27" s="10" t="inlineStr">
        <is>
          <t>MG-25-000719</t>
        </is>
      </c>
      <c r="C27" s="10" t="inlineStr">
        <is>
          <t>304 Pappan Dr</t>
        </is>
      </c>
      <c r="D27" s="10" t="inlineStr">
        <is>
          <t>Imperial</t>
        </is>
      </c>
      <c r="E27" s="10" t="inlineStr">
        <is>
          <t>15126</t>
        </is>
      </c>
      <c r="F27" s="10" t="inlineStr">
        <is>
          <t>Findlay</t>
        </is>
      </c>
      <c r="G27" s="10" t="inlineStr">
        <is>
          <t>801-L-34</t>
        </is>
      </c>
      <c r="H27" s="10" t="inlineStr">
        <is>
          <t>0801-L-00034-0000-00</t>
        </is>
      </c>
      <c r="I27" s="10" t="inlineStr">
        <is>
          <t>Residential / unspecified</t>
        </is>
      </c>
      <c r="J27" s="10" t="inlineStr">
        <is>
          <t>Mortgage foreclosure</t>
        </is>
      </c>
      <c r="K27" s="10" t="inlineStr">
        <is>
          <t>Individual</t>
        </is>
      </c>
      <c r="L27" s="10" t="inlineStr">
        <is>
          <t>GREEN, SABRINA M.</t>
        </is>
      </c>
      <c r="M27" s="10" t="inlineStr">
        <is>
          <t>Midfirst Bank</t>
        </is>
      </c>
      <c r="N27" s="10" t="inlineStr">
        <is>
          <t>PURCELL KRUG &amp; HALLER</t>
        </is>
      </c>
      <c r="O27" s="11" t="n">
        <v>4045.77</v>
      </c>
      <c r="P27" s="11" t="n"/>
      <c r="Q27" s="11" t="n">
        <v>4045.77</v>
      </c>
      <c r="R27" s="11" t="n"/>
      <c r="S27" s="10" t="inlineStr">
        <is>
          <t>✔ ✔ – ✔</t>
        </is>
      </c>
      <c r="T27" s="12" t="inlineStr">
        <is>
          <t>Sheriff OK box checked</t>
        </is>
      </c>
      <c r="U27" s="12" t="inlineStr"/>
      <c r="V27" s="12" t="inlineStr">
        <is>
          <t>OK TO SELL 11/2/26</t>
        </is>
      </c>
      <c r="W27" s="10" t="inlineStr">
        <is>
          <t>Findlay Twp</t>
        </is>
      </c>
      <c r="X27" s="13">
        <f>IFERROR(VLOOKUP(W27,'Transfer Tax'!$A$14:$H$400,8,FALSE),"")</f>
        <v/>
      </c>
      <c r="Y27" s="14" t="n"/>
      <c r="Z27" s="11">
        <f>IF(OR(Y27="",X27=""),"",Y27*'Transfer Tax'!$B$6*X27)</f>
        <v/>
      </c>
      <c r="AA27" s="14" t="n"/>
      <c r="AB27" s="15" t="n"/>
      <c r="AC27" s="14" t="n"/>
      <c r="AD27" s="15" t="n"/>
      <c r="AE27" s="10" t="inlineStr">
        <is>
          <t>2026-10-25</t>
        </is>
      </c>
    </row>
    <row r="28">
      <c r="A28" s="10" t="inlineStr">
        <is>
          <t>147NOV26</t>
        </is>
      </c>
      <c r="B28" s="10" t="inlineStr">
        <is>
          <t>GD-25-007632</t>
        </is>
      </c>
      <c r="C28" s="10" t="inlineStr">
        <is>
          <t>4018 Greensburg Pike</t>
        </is>
      </c>
      <c r="D28" s="10" t="inlineStr">
        <is>
          <t>Pittsburgh</t>
        </is>
      </c>
      <c r="E28" s="10" t="inlineStr">
        <is>
          <t>15221</t>
        </is>
      </c>
      <c r="F28" s="10" t="inlineStr">
        <is>
          <t>Forest Hills</t>
        </is>
      </c>
      <c r="G28" s="10" t="inlineStr">
        <is>
          <t>372-P-54</t>
        </is>
      </c>
      <c r="H28" s="10" t="inlineStr">
        <is>
          <t>0372-P-00054-0000-00</t>
        </is>
      </c>
      <c r="I28" s="10" t="inlineStr">
        <is>
          <t>Residential / unspecified</t>
        </is>
      </c>
      <c r="J28" s="10" t="inlineStr">
        <is>
          <t>Tax lien (Sci Fa sur tax lien)</t>
        </is>
      </c>
      <c r="K28" s="10" t="inlineStr">
        <is>
          <t>Individual</t>
        </is>
      </c>
      <c r="L28" s="10" t="inlineStr">
        <is>
          <t>Stratiff, David J.</t>
        </is>
      </c>
      <c r="M28" s="10" t="inlineStr">
        <is>
          <t>Woodland Hills School District</t>
        </is>
      </c>
      <c r="N28" s="10" t="inlineStr">
        <is>
          <t>GOEHRING RUTTER &amp; BOEHM</t>
        </is>
      </c>
      <c r="O28" s="11" t="n">
        <v>27434.66</v>
      </c>
      <c r="P28" s="11" t="n"/>
      <c r="Q28" s="11" t="n">
        <v>27434.66</v>
      </c>
      <c r="R28" s="11" t="n"/>
      <c r="S28" s="10" t="inlineStr">
        <is>
          <t>✔ ✔ – ✔</t>
        </is>
      </c>
      <c r="T28" s="12" t="inlineStr">
        <is>
          <t>Sheriff OK box checked</t>
        </is>
      </c>
      <c r="U28" s="12" t="inlineStr"/>
      <c r="V28" s="12" t="inlineStr">
        <is>
          <t>OK TO SELL 11/2/26</t>
        </is>
      </c>
      <c r="W28" s="10" t="inlineStr">
        <is>
          <t>Forest Hills Boro</t>
        </is>
      </c>
      <c r="X28" s="13">
        <f>IFERROR(VLOOKUP(W28,'Transfer Tax'!$A$14:$H$400,8,FALSE),"")</f>
        <v/>
      </c>
      <c r="Y28" s="14" t="n"/>
      <c r="Z28" s="11">
        <f>IF(OR(Y28="",X28=""),"",Y28*'Transfer Tax'!$B$6*X28)</f>
        <v/>
      </c>
      <c r="AA28" s="14" t="n"/>
      <c r="AB28" s="15" t="n"/>
      <c r="AC28" s="14" t="n"/>
      <c r="AD28" s="15" t="n"/>
      <c r="AE28" s="10" t="inlineStr">
        <is>
          <t>2026-10-25</t>
        </is>
      </c>
    </row>
    <row r="29">
      <c r="A29" s="10" t="inlineStr">
        <is>
          <t>110NOV26</t>
        </is>
      </c>
      <c r="B29" s="10" t="inlineStr">
        <is>
          <t>MG-26-000588</t>
        </is>
      </c>
      <c r="C29" s="10" t="inlineStr">
        <is>
          <t>711 Vermont Avenue</t>
        </is>
      </c>
      <c r="D29" s="10" t="inlineStr">
        <is>
          <t>Glassport</t>
        </is>
      </c>
      <c r="E29" s="10" t="inlineStr">
        <is>
          <t>15045</t>
        </is>
      </c>
      <c r="F29" s="10" t="inlineStr">
        <is>
          <t>Glassport</t>
        </is>
      </c>
      <c r="G29" s="10" t="inlineStr">
        <is>
          <t>558-G-273</t>
        </is>
      </c>
      <c r="H29" s="10" t="inlineStr">
        <is>
          <t>0558-G-00273-0000-00</t>
        </is>
      </c>
      <c r="I29" s="10" t="inlineStr">
        <is>
          <t>Residential / unspecified</t>
        </is>
      </c>
      <c r="J29" s="10" t="inlineStr">
        <is>
          <t>Mortgage foreclosure</t>
        </is>
      </c>
      <c r="K29" s="10" t="inlineStr">
        <is>
          <t>Individual</t>
        </is>
      </c>
      <c r="L29" s="10" t="inlineStr">
        <is>
          <t>Koroly, Michael P</t>
        </is>
      </c>
      <c r="M29" s="10" t="inlineStr">
        <is>
          <t>U.S. Bank National Association</t>
        </is>
      </c>
      <c r="N29" s="10" t="inlineStr">
        <is>
          <t>PURCELL KRUG &amp; HALLER</t>
        </is>
      </c>
      <c r="O29" s="11" t="n">
        <v>3031.99</v>
      </c>
      <c r="P29" s="11" t="n"/>
      <c r="Q29" s="11" t="n">
        <v>3031.99</v>
      </c>
      <c r="R29" s="11" t="n"/>
      <c r="S29" s="10" t="inlineStr">
        <is>
          <t>✔ ✔ – ✔</t>
        </is>
      </c>
      <c r="T29" s="12" t="inlineStr">
        <is>
          <t>Sheriff OK box checked</t>
        </is>
      </c>
      <c r="U29" s="12" t="inlineStr">
        <is>
          <t>FHA-insured loan</t>
        </is>
      </c>
      <c r="V29" s="12" t="inlineStr">
        <is>
          <t>FHA
OK TO SELL 11/2/26</t>
        </is>
      </c>
      <c r="W29" s="10" t="inlineStr">
        <is>
          <t>Glassport Boro</t>
        </is>
      </c>
      <c r="X29" s="13">
        <f>IFERROR(VLOOKUP(W29,'Transfer Tax'!$A$14:$H$400,8,FALSE),"")</f>
        <v/>
      </c>
      <c r="Y29" s="14" t="n"/>
      <c r="Z29" s="11">
        <f>IF(OR(Y29="",X29=""),"",Y29*'Transfer Tax'!$B$6*X29)</f>
        <v/>
      </c>
      <c r="AA29" s="14" t="n"/>
      <c r="AB29" s="15" t="n"/>
      <c r="AC29" s="14" t="n"/>
      <c r="AD29" s="15" t="n"/>
      <c r="AE29" s="10" t="inlineStr">
        <is>
          <t>2026-10-25</t>
        </is>
      </c>
    </row>
    <row r="30">
      <c r="A30" s="10" t="inlineStr">
        <is>
          <t>125NOV26</t>
        </is>
      </c>
      <c r="B30" s="10" t="inlineStr">
        <is>
          <t>GD-14-021137</t>
        </is>
      </c>
      <c r="C30" s="10" t="inlineStr">
        <is>
          <t>36 Rich Hill Road</t>
        </is>
      </c>
      <c r="D30" s="10" t="inlineStr">
        <is>
          <t>Cheswick</t>
        </is>
      </c>
      <c r="E30" s="10" t="inlineStr">
        <is>
          <t>15024</t>
        </is>
      </c>
      <c r="F30" s="10" t="inlineStr">
        <is>
          <t>Harmar</t>
        </is>
      </c>
      <c r="G30" s="10" t="inlineStr">
        <is>
          <t>623-C-30</t>
        </is>
      </c>
      <c r="H30" s="10" t="inlineStr">
        <is>
          <t>0623-C-00030-0000-00</t>
        </is>
      </c>
      <c r="I30" s="10" t="inlineStr">
        <is>
          <t>Residential / unspecified</t>
        </is>
      </c>
      <c r="J30" s="10" t="inlineStr">
        <is>
          <t>Tax lien (Sci Fa sur tax lien)</t>
        </is>
      </c>
      <c r="K30" s="10" t="inlineStr">
        <is>
          <t>Individual</t>
        </is>
      </c>
      <c r="L30" s="10" t="inlineStr">
        <is>
          <t>Smiesko, Lisa A</t>
        </is>
      </c>
      <c r="M30" s="10" t="inlineStr">
        <is>
          <t>County Of Allegheny</t>
        </is>
      </c>
      <c r="N30" s="10" t="inlineStr">
        <is>
          <t>GOEHRING RUTTER &amp; BOEHM</t>
        </is>
      </c>
      <c r="O30" s="11" t="n">
        <v>66060.67999999999</v>
      </c>
      <c r="P30" s="11" t="n"/>
      <c r="Q30" s="11" t="n">
        <v>66060.67999999999</v>
      </c>
      <c r="R30" s="11" t="n"/>
      <c r="S30" s="10" t="inlineStr">
        <is>
          <t>✔ ✔ – ✔</t>
        </is>
      </c>
      <c r="T30" s="12" t="inlineStr">
        <is>
          <t>Sheriff OK box checked</t>
        </is>
      </c>
      <c r="U30" s="12" t="inlineStr"/>
      <c r="V30" s="12" t="inlineStr">
        <is>
          <t>OK TO SELL 11/2/26</t>
        </is>
      </c>
      <c r="W30" s="10" t="inlineStr">
        <is>
          <t>Harmar Twp</t>
        </is>
      </c>
      <c r="X30" s="13">
        <f>IFERROR(VLOOKUP(W30,'Transfer Tax'!$A$14:$H$400,8,FALSE),"")</f>
        <v/>
      </c>
      <c r="Y30" s="14" t="n"/>
      <c r="Z30" s="11">
        <f>IF(OR(Y30="",X30=""),"",Y30*'Transfer Tax'!$B$6*X30)</f>
        <v/>
      </c>
      <c r="AA30" s="14" t="n"/>
      <c r="AB30" s="15" t="n"/>
      <c r="AC30" s="14" t="n"/>
      <c r="AD30" s="15" t="n"/>
      <c r="AE30" s="10" t="inlineStr">
        <is>
          <t>2026-10-25</t>
        </is>
      </c>
    </row>
    <row r="31">
      <c r="A31" s="10" t="inlineStr">
        <is>
          <t>42APR26</t>
        </is>
      </c>
      <c r="B31" s="10" t="inlineStr">
        <is>
          <t>GD-25-011355</t>
        </is>
      </c>
      <c r="C31" s="10" t="inlineStr">
        <is>
          <t>214 Burwick Court</t>
        </is>
      </c>
      <c r="D31" s="10" t="inlineStr">
        <is>
          <t>Pittsburgh</t>
        </is>
      </c>
      <c r="E31" s="10" t="inlineStr">
        <is>
          <t>15238</t>
        </is>
      </c>
      <c r="F31" s="10" t="inlineStr">
        <is>
          <t>Indiana</t>
        </is>
      </c>
      <c r="G31" s="10" t="inlineStr">
        <is>
          <t>835-A-1</t>
        </is>
      </c>
      <c r="H31" s="10" t="inlineStr">
        <is>
          <t>0835-A-00001-0000-00</t>
        </is>
      </c>
      <c r="I31" s="10" t="inlineStr">
        <is>
          <t>Residential / unspecified</t>
        </is>
      </c>
      <c r="J31" s="10" t="inlineStr">
        <is>
          <t>Mortgage foreclosure</t>
        </is>
      </c>
      <c r="K31" s="10" t="inlineStr">
        <is>
          <t>Individual</t>
        </is>
      </c>
      <c r="L31" s="10" t="inlineStr">
        <is>
          <t>Grimsley, Douglas M.</t>
        </is>
      </c>
      <c r="M31" s="10" t="inlineStr">
        <is>
          <t>Federal Home Loan Mortgage Corporation</t>
        </is>
      </c>
      <c r="N31" s="10" t="inlineStr">
        <is>
          <t>ROBERTSON ANSCHUTZ SCHNEID</t>
        </is>
      </c>
      <c r="O31" s="11" t="n">
        <v>4766.99</v>
      </c>
      <c r="P31" s="11" t="n"/>
      <c r="Q31" s="11" t="n">
        <v>4766.99</v>
      </c>
      <c r="R31" s="11" t="n">
        <v>169975.36</v>
      </c>
      <c r="S31" s="10" t="inlineStr">
        <is>
          <t>✔ ✔ ✔ ✔</t>
        </is>
      </c>
      <c r="T31" s="12" t="inlineStr">
        <is>
          <t>Sheriff OK box checked</t>
        </is>
      </c>
      <c r="U31" s="12" t="inlineStr"/>
      <c r="V31" s="12" t="inlineStr">
        <is>
          <t>OK TO SELL 11-2-26
O/C TO REASSESS DAMAGES TO $169,975.36</t>
        </is>
      </c>
      <c r="W31" s="10" t="inlineStr">
        <is>
          <t>Indiana Twp</t>
        </is>
      </c>
      <c r="X31" s="13">
        <f>IFERROR(VLOOKUP(W31,'Transfer Tax'!$A$14:$H$400,8,FALSE),"")</f>
        <v/>
      </c>
      <c r="Y31" s="14" t="n"/>
      <c r="Z31" s="11">
        <f>IF(OR(Y31="",X31=""),"",Y31*'Transfer Tax'!$B$6*X31)</f>
        <v/>
      </c>
      <c r="AA31" s="14" t="n"/>
      <c r="AB31" s="15" t="n"/>
      <c r="AC31" s="14" t="n"/>
      <c r="AD31" s="15" t="n"/>
      <c r="AE31" s="10" t="inlineStr">
        <is>
          <t>2026-10-25</t>
        </is>
      </c>
    </row>
    <row r="32">
      <c r="A32" s="10" t="inlineStr">
        <is>
          <t>6NOV26</t>
        </is>
      </c>
      <c r="B32" s="10" t="inlineStr">
        <is>
          <t>GD-24-005281</t>
        </is>
      </c>
      <c r="C32" s="10" t="inlineStr">
        <is>
          <t>124 Wray Large Road</t>
        </is>
      </c>
      <c r="D32" s="10" t="inlineStr">
        <is>
          <t>Clairton</t>
        </is>
      </c>
      <c r="E32" s="10" t="inlineStr">
        <is>
          <t>15025</t>
        </is>
      </c>
      <c r="F32" s="10" t="inlineStr">
        <is>
          <t>Jefferson Hills</t>
        </is>
      </c>
      <c r="G32" s="10" t="inlineStr">
        <is>
          <t>659-C-186</t>
        </is>
      </c>
      <c r="H32" s="10" t="inlineStr">
        <is>
          <t>0659-C-00186-0000-00</t>
        </is>
      </c>
      <c r="I32" s="10" t="inlineStr">
        <is>
          <t>Residential / unspecified</t>
        </is>
      </c>
      <c r="J32" s="10" t="inlineStr">
        <is>
          <t>Tax lien (Sci Fa sur tax lien)</t>
        </is>
      </c>
      <c r="K32" s="10" t="inlineStr">
        <is>
          <t>Individual</t>
        </is>
      </c>
      <c r="L32" s="10" t="inlineStr">
        <is>
          <t>Killen, Albert J.</t>
        </is>
      </c>
      <c r="M32" s="10" t="inlineStr">
        <is>
          <t>West Jefferson Hills School District</t>
        </is>
      </c>
      <c r="N32" s="10" t="inlineStr">
        <is>
          <t>WEISS BURKARDT KRAMER LLC</t>
        </is>
      </c>
      <c r="O32" s="11" t="n">
        <v>65779.59</v>
      </c>
      <c r="P32" s="11" t="n"/>
      <c r="Q32" s="11" t="n">
        <v>65779.59</v>
      </c>
      <c r="R32" s="11" t="n"/>
      <c r="S32" s="10" t="inlineStr">
        <is>
          <t>✔ ✔ – ✔</t>
        </is>
      </c>
      <c r="T32" s="12" t="inlineStr">
        <is>
          <t>Sheriff OK box checked</t>
        </is>
      </c>
      <c r="U32" s="12" t="inlineStr"/>
      <c r="V32" s="12" t="inlineStr">
        <is>
          <t>OK TO SELL 11/2/26</t>
        </is>
      </c>
      <c r="W32" s="10" t="inlineStr">
        <is>
          <t>Jefferson Hills Boro</t>
        </is>
      </c>
      <c r="X32" s="13">
        <f>IFERROR(VLOOKUP(W32,'Transfer Tax'!$A$14:$H$400,8,FALSE),"")</f>
        <v/>
      </c>
      <c r="Y32" s="14" t="n"/>
      <c r="Z32" s="11">
        <f>IF(OR(Y32="",X32=""),"",Y32*'Transfer Tax'!$B$6*X32)</f>
        <v/>
      </c>
      <c r="AA32" s="14" t="n"/>
      <c r="AB32" s="15" t="n"/>
      <c r="AC32" s="14" t="n"/>
      <c r="AD32" s="15" t="n"/>
      <c r="AE32" s="10" t="inlineStr">
        <is>
          <t>2026-10-25</t>
        </is>
      </c>
    </row>
    <row r="33">
      <c r="A33" s="10" t="inlineStr">
        <is>
          <t>5NOV26</t>
        </is>
      </c>
      <c r="B33" s="10" t="inlineStr">
        <is>
          <t>GD-25-001437</t>
        </is>
      </c>
      <c r="C33" s="10" t="inlineStr">
        <is>
          <t>2017 Ridge Road</t>
        </is>
      </c>
      <c r="D33" s="10" t="inlineStr">
        <is>
          <t>Finleyville</t>
        </is>
      </c>
      <c r="E33" s="10" t="inlineStr">
        <is>
          <t>15332</t>
        </is>
      </c>
      <c r="F33" s="10" t="inlineStr">
        <is>
          <t>Jefferson Hills</t>
        </is>
      </c>
      <c r="G33" s="10" t="inlineStr">
        <is>
          <t>1136-B-216</t>
        </is>
      </c>
      <c r="H33" s="10" t="inlineStr">
        <is>
          <t>1136-B-00216-0000-00</t>
        </is>
      </c>
      <c r="I33" s="10" t="inlineStr">
        <is>
          <t>Residential / unspecified</t>
        </is>
      </c>
      <c r="J33" s="10" t="inlineStr">
        <is>
          <t>Tax lien (Sci Fa sur tax lien)</t>
        </is>
      </c>
      <c r="K33" s="10" t="inlineStr">
        <is>
          <t>Individual</t>
        </is>
      </c>
      <c r="L33" s="10" t="inlineStr">
        <is>
          <t>Kinneer, David</t>
        </is>
      </c>
      <c r="M33" s="10" t="inlineStr">
        <is>
          <t>West Jefferson Hills School District</t>
        </is>
      </c>
      <c r="N33" s="10" t="inlineStr">
        <is>
          <t>WEISS BURKARDT KRAMER LLC</t>
        </is>
      </c>
      <c r="O33" s="11" t="n">
        <v>34615.99</v>
      </c>
      <c r="P33" s="11" t="n"/>
      <c r="Q33" s="11" t="n">
        <v>34615.99</v>
      </c>
      <c r="R33" s="11" t="n"/>
      <c r="S33" s="10" t="inlineStr">
        <is>
          <t>✔ ✔ – ✔</t>
        </is>
      </c>
      <c r="T33" s="12" t="inlineStr">
        <is>
          <t>Sheriff OK box checked</t>
        </is>
      </c>
      <c r="U33" s="12" t="inlineStr"/>
      <c r="V33" s="12" t="inlineStr">
        <is>
          <t>OK TO SELL 11/2/26</t>
        </is>
      </c>
      <c r="W33" s="10" t="inlineStr">
        <is>
          <t>Jefferson Hills Boro</t>
        </is>
      </c>
      <c r="X33" s="13">
        <f>IFERROR(VLOOKUP(W33,'Transfer Tax'!$A$14:$H$400,8,FALSE),"")</f>
        <v/>
      </c>
      <c r="Y33" s="14" t="n"/>
      <c r="Z33" s="11">
        <f>IF(OR(Y33="",X33=""),"",Y33*'Transfer Tax'!$B$6*X33)</f>
        <v/>
      </c>
      <c r="AA33" s="14" t="n"/>
      <c r="AB33" s="15" t="n"/>
      <c r="AC33" s="14" t="n"/>
      <c r="AD33" s="15" t="n"/>
      <c r="AE33" s="10" t="inlineStr">
        <is>
          <t>2026-10-25</t>
        </is>
      </c>
    </row>
    <row r="34">
      <c r="A34" s="10" t="inlineStr">
        <is>
          <t>18JAN26</t>
        </is>
      </c>
      <c r="B34" s="10" t="inlineStr">
        <is>
          <t>GD-25-002385</t>
        </is>
      </c>
      <c r="C34" s="10" t="inlineStr">
        <is>
          <t>3069 Scotia Hollow Road</t>
        </is>
      </c>
      <c r="D34" s="10" t="inlineStr">
        <is>
          <t>West Elizabeth</t>
        </is>
      </c>
      <c r="E34" s="10" t="inlineStr">
        <is>
          <t>15088</t>
        </is>
      </c>
      <c r="F34" s="10" t="inlineStr">
        <is>
          <t>Jefferson Hills</t>
        </is>
      </c>
      <c r="G34" s="10" t="inlineStr">
        <is>
          <t>1134-M-150</t>
        </is>
      </c>
      <c r="H34" s="10" t="inlineStr">
        <is>
          <t>1134-M-00150-0000-00</t>
        </is>
      </c>
      <c r="I34" s="10" t="inlineStr">
        <is>
          <t>Residential / unspecified</t>
        </is>
      </c>
      <c r="J34" s="10" t="inlineStr">
        <is>
          <t>Tax lien (Sci Fa sur tax lien)</t>
        </is>
      </c>
      <c r="K34" s="10" t="inlineStr">
        <is>
          <t>Individual</t>
        </is>
      </c>
      <c r="L34" s="10" t="inlineStr">
        <is>
          <t>Plants, David G.</t>
        </is>
      </c>
      <c r="M34" s="10" t="inlineStr">
        <is>
          <t>Jefferson Hills Borough</t>
        </is>
      </c>
      <c r="N34" s="10" t="inlineStr">
        <is>
          <t>MAIELLO BRUNGO &amp; MAIELLO</t>
        </is>
      </c>
      <c r="O34" s="11" t="n">
        <v>43283.67</v>
      </c>
      <c r="P34" s="11" t="n">
        <v>7000</v>
      </c>
      <c r="Q34" s="11" t="n">
        <v>7000</v>
      </c>
      <c r="R34" s="11" t="n"/>
      <c r="S34" s="10" t="inlineStr">
        <is>
          <t>✔ ✔ ✔ ✔</t>
        </is>
      </c>
      <c r="T34" s="12" t="inlineStr">
        <is>
          <t>Sheriff OK box checked</t>
        </is>
      </c>
      <c r="U34" s="12" t="inlineStr">
        <is>
          <t>Free &amp; clear court order, min bid $7,000.00</t>
        </is>
      </c>
      <c r="V34" s="12" t="inlineStr">
        <is>
          <t>OK TO SELL 11-2-26
F/C O/C FOR A MIN BID OF $7,000.00</t>
        </is>
      </c>
      <c r="W34" s="10" t="inlineStr">
        <is>
          <t>Jefferson Hills Boro</t>
        </is>
      </c>
      <c r="X34" s="13">
        <f>IFERROR(VLOOKUP(W34,'Transfer Tax'!$A$14:$H$400,8,FALSE),"")</f>
        <v/>
      </c>
      <c r="Y34" s="14" t="n"/>
      <c r="Z34" s="11">
        <f>IF(OR(Y34="",X34=""),"",Y34*'Transfer Tax'!$B$6*X34)</f>
        <v/>
      </c>
      <c r="AA34" s="14" t="n"/>
      <c r="AB34" s="15" t="n"/>
      <c r="AC34" s="14" t="n"/>
      <c r="AD34" s="15" t="n"/>
      <c r="AE34" s="10" t="inlineStr">
        <is>
          <t>2026-10-25</t>
        </is>
      </c>
    </row>
    <row r="35">
      <c r="A35" s="10" t="inlineStr">
        <is>
          <t>92NOV26</t>
        </is>
      </c>
      <c r="B35" s="10" t="inlineStr">
        <is>
          <t>GD-25-004770</t>
        </is>
      </c>
      <c r="C35" s="10" t="inlineStr">
        <is>
          <t>28 Victory Lane</t>
        </is>
      </c>
      <c r="D35" s="10" t="inlineStr">
        <is>
          <t>Leetsdale</t>
        </is>
      </c>
      <c r="E35" s="10" t="inlineStr">
        <is>
          <t>15056</t>
        </is>
      </c>
      <c r="F35" s="10" t="inlineStr">
        <is>
          <t>Leetsdale</t>
        </is>
      </c>
      <c r="G35" s="10" t="inlineStr">
        <is>
          <t>704-L-163</t>
        </is>
      </c>
      <c r="H35" s="10" t="inlineStr">
        <is>
          <t>0704-L-00163-0000-00</t>
        </is>
      </c>
      <c r="I35" s="10" t="inlineStr">
        <is>
          <t>Residential / unspecified</t>
        </is>
      </c>
      <c r="J35" s="10" t="inlineStr">
        <is>
          <t>Tax lien (Sci Fa sur tax lien)</t>
        </is>
      </c>
      <c r="K35" s="10" t="inlineStr">
        <is>
          <t>Individual</t>
        </is>
      </c>
      <c r="L35" s="10" t="inlineStr">
        <is>
          <t>Wytiaz, Barbara</t>
        </is>
      </c>
      <c r="M35" s="10" t="inlineStr">
        <is>
          <t>Quaker Valley School District</t>
        </is>
      </c>
      <c r="N35" s="10" t="inlineStr">
        <is>
          <t>GOEHRING RUTTER &amp; BOEHM</t>
        </is>
      </c>
      <c r="O35" s="11" t="n">
        <v>11985.17</v>
      </c>
      <c r="P35" s="11" t="n"/>
      <c r="Q35" s="11" t="n">
        <v>11985.17</v>
      </c>
      <c r="R35" s="11" t="n"/>
      <c r="S35" s="10" t="inlineStr">
        <is>
          <t>✔ ✔ – ✔</t>
        </is>
      </c>
      <c r="T35" s="12" t="inlineStr">
        <is>
          <t>Sheriff OK box checked</t>
        </is>
      </c>
      <c r="U35" s="12" t="inlineStr"/>
      <c r="V35" s="12" t="inlineStr">
        <is>
          <t>OK TO SELL 11/2/26</t>
        </is>
      </c>
      <c r="W35" s="10" t="inlineStr">
        <is>
          <t>Leetsdale Boro</t>
        </is>
      </c>
      <c r="X35" s="13">
        <f>IFERROR(VLOOKUP(W35,'Transfer Tax'!$A$14:$H$400,8,FALSE),"")</f>
        <v/>
      </c>
      <c r="Y35" s="14" t="n"/>
      <c r="Z35" s="11">
        <f>IF(OR(Y35="",X35=""),"",Y35*'Transfer Tax'!$B$6*X35)</f>
        <v/>
      </c>
      <c r="AA35" s="14" t="n"/>
      <c r="AB35" s="15" t="n"/>
      <c r="AC35" s="14" t="n"/>
      <c r="AD35" s="15" t="n"/>
      <c r="AE35" s="10" t="inlineStr">
        <is>
          <t>2026-10-25</t>
        </is>
      </c>
    </row>
    <row r="36">
      <c r="A36" s="10" t="inlineStr">
        <is>
          <t>81NOV26</t>
        </is>
      </c>
      <c r="B36" s="10" t="inlineStr">
        <is>
          <t>GD-26-000638</t>
        </is>
      </c>
      <c r="C36" s="10" t="inlineStr">
        <is>
          <t>160 Mount Pleasant Rd</t>
        </is>
      </c>
      <c r="D36" s="10" t="inlineStr">
        <is>
          <t>Warrendale</t>
        </is>
      </c>
      <c r="E36" s="10" t="inlineStr">
        <is>
          <t>15086</t>
        </is>
      </c>
      <c r="F36" s="10" t="inlineStr">
        <is>
          <t>Marshall</t>
        </is>
      </c>
      <c r="G36" s="10" t="inlineStr">
        <is>
          <t>1999-B-6</t>
        </is>
      </c>
      <c r="H36" s="10" t="inlineStr">
        <is>
          <t>1999-B-00006-0000-00</t>
        </is>
      </c>
      <c r="I36" s="10" t="inlineStr">
        <is>
          <t>Residential / unspecified</t>
        </is>
      </c>
      <c r="J36" s="10" t="inlineStr">
        <is>
          <t>Mortgage foreclosure</t>
        </is>
      </c>
      <c r="K36" s="10" t="inlineStr">
        <is>
          <t>Individual</t>
        </is>
      </c>
      <c r="L36" s="10" t="inlineStr">
        <is>
          <t>Halpin III, Charles A.J.</t>
        </is>
      </c>
      <c r="M36" s="10" t="inlineStr">
        <is>
          <t>Citizens Bank N.A.</t>
        </is>
      </c>
      <c r="N36" s="10" t="inlineStr">
        <is>
          <t>GREGORY JAVARDIAN ESQ</t>
        </is>
      </c>
      <c r="O36" s="11" t="n">
        <v>8579.559999999999</v>
      </c>
      <c r="P36" s="11" t="n"/>
      <c r="Q36" s="11" t="n">
        <v>8579.559999999999</v>
      </c>
      <c r="R36" s="11" t="n"/>
      <c r="S36" s="10" t="inlineStr">
        <is>
          <t>✔ ✔ – ✔</t>
        </is>
      </c>
      <c r="T36" s="12" t="inlineStr">
        <is>
          <t>Sheriff OK box checked</t>
        </is>
      </c>
      <c r="U36" s="12" t="inlineStr"/>
      <c r="V36" s="12" t="inlineStr">
        <is>
          <t>OK TO SELL 11/2/26</t>
        </is>
      </c>
      <c r="W36" s="10" t="inlineStr">
        <is>
          <t>Marshall Twp</t>
        </is>
      </c>
      <c r="X36" s="13">
        <f>IFERROR(VLOOKUP(W36,'Transfer Tax'!$A$14:$H$400,8,FALSE),"")</f>
        <v/>
      </c>
      <c r="Y36" s="14" t="n"/>
      <c r="Z36" s="11">
        <f>IF(OR(Y36="",X36=""),"",Y36*'Transfer Tax'!$B$6*X36)</f>
        <v/>
      </c>
      <c r="AA36" s="14" t="n"/>
      <c r="AB36" s="15" t="n"/>
      <c r="AC36" s="14" t="n"/>
      <c r="AD36" s="15" t="n"/>
      <c r="AE36" s="10" t="inlineStr">
        <is>
          <t>2026-10-25</t>
        </is>
      </c>
    </row>
    <row r="37">
      <c r="A37" s="10" t="inlineStr">
        <is>
          <t>22JUN26</t>
        </is>
      </c>
      <c r="B37" s="10" t="inlineStr">
        <is>
          <t>MG-25-000865</t>
        </is>
      </c>
      <c r="C37" s="10" t="inlineStr">
        <is>
          <t>324 Catherine Street</t>
        </is>
      </c>
      <c r="D37" s="10" t="inlineStr">
        <is>
          <t>Mckees Rocks</t>
        </is>
      </c>
      <c r="E37" s="10" t="inlineStr">
        <is>
          <t>15136</t>
        </is>
      </c>
      <c r="F37" s="10" t="inlineStr">
        <is>
          <t>McKees Rocks</t>
        </is>
      </c>
      <c r="G37" s="10" t="inlineStr">
        <is>
          <t>74-R-21</t>
        </is>
      </c>
      <c r="H37" s="10" t="inlineStr">
        <is>
          <t>0074-R-00021-0000-00</t>
        </is>
      </c>
      <c r="I37" s="10" t="inlineStr">
        <is>
          <t>Residential / unspecified</t>
        </is>
      </c>
      <c r="J37" s="10" t="inlineStr">
        <is>
          <t>Mortgage foreclosure</t>
        </is>
      </c>
      <c r="K37" s="10" t="inlineStr">
        <is>
          <t>Individual</t>
        </is>
      </c>
      <c r="L37" s="10" t="inlineStr">
        <is>
          <t>Taravella, Divauna</t>
        </is>
      </c>
      <c r="M37" s="10" t="inlineStr">
        <is>
          <t>Citibank N.A.</t>
        </is>
      </c>
      <c r="N37" s="10" t="inlineStr">
        <is>
          <t>ROBERTSON ANSCHUTZ SCHNEID</t>
        </is>
      </c>
      <c r="O37" s="11" t="n">
        <v>9606.040000000001</v>
      </c>
      <c r="P37" s="11" t="n"/>
      <c r="Q37" s="11" t="n">
        <v>9606.040000000001</v>
      </c>
      <c r="R37" s="11" t="n">
        <v>56990.25</v>
      </c>
      <c r="S37" s="10" t="inlineStr">
        <is>
          <t>✔ ✔ ✔ ✔</t>
        </is>
      </c>
      <c r="T37" s="12" t="inlineStr">
        <is>
          <t>Sheriff OK box checked</t>
        </is>
      </c>
      <c r="U37" s="12" t="inlineStr">
        <is>
          <t>Prior winning bidder forfeited (property re-offered)</t>
        </is>
      </c>
      <c r="V37" s="12" t="inlineStr">
        <is>
          <t>OK TO SELL 11-2-26
FORFEITED 10/5/26
O/C TO RE-ASSESS DAMAGES TO $56,990.25 RCVD 9/4/26</t>
        </is>
      </c>
      <c r="W37" s="10" t="inlineStr">
        <is>
          <t>McKees Rocks Boro</t>
        </is>
      </c>
      <c r="X37" s="13">
        <f>IFERROR(VLOOKUP(W37,'Transfer Tax'!$A$14:$H$400,8,FALSE),"")</f>
        <v/>
      </c>
      <c r="Y37" s="14" t="n"/>
      <c r="Z37" s="11">
        <f>IF(OR(Y37="",X37=""),"",Y37*'Transfer Tax'!$B$6*X37)</f>
        <v/>
      </c>
      <c r="AA37" s="14" t="n"/>
      <c r="AB37" s="15" t="n"/>
      <c r="AC37" s="14" t="n"/>
      <c r="AD37" s="15" t="n"/>
      <c r="AE37" s="10" t="inlineStr">
        <is>
          <t>2026-10-25</t>
        </is>
      </c>
    </row>
    <row r="38">
      <c r="A38" s="10" t="inlineStr">
        <is>
          <t>61NOV26</t>
        </is>
      </c>
      <c r="B38" s="10" t="inlineStr">
        <is>
          <t>MG-26-000208</t>
        </is>
      </c>
      <c r="C38" s="10" t="inlineStr">
        <is>
          <t>709 Latrobe Street Street</t>
        </is>
      </c>
      <c r="D38" s="10" t="inlineStr">
        <is>
          <t>Mckeesport</t>
        </is>
      </c>
      <c r="E38" s="10" t="inlineStr">
        <is>
          <t>15133</t>
        </is>
      </c>
      <c r="F38" s="10" t="inlineStr">
        <is>
          <t>McKees Rocks</t>
        </is>
      </c>
      <c r="G38" s="10" t="inlineStr">
        <is>
          <t>465-L-273</t>
        </is>
      </c>
      <c r="H38" s="10" t="inlineStr">
        <is>
          <t>0465-L-00273-0000-00</t>
        </is>
      </c>
      <c r="I38" s="10" t="inlineStr">
        <is>
          <t>Residential / unspecified</t>
        </is>
      </c>
      <c r="J38" s="10" t="inlineStr">
        <is>
          <t>Mortgage foreclosure</t>
        </is>
      </c>
      <c r="K38" s="10" t="inlineStr">
        <is>
          <t>Individual</t>
        </is>
      </c>
      <c r="L38" s="10" t="inlineStr">
        <is>
          <t>Karpeal, Jacob P</t>
        </is>
      </c>
      <c r="M38" s="10" t="inlineStr">
        <is>
          <t>Pennymac Loan Services LLC</t>
        </is>
      </c>
      <c r="N38" s="10" t="inlineStr">
        <is>
          <t>POWERS KIRN LLC</t>
        </is>
      </c>
      <c r="O38" s="11" t="n">
        <v>1889.3</v>
      </c>
      <c r="P38" s="11" t="n"/>
      <c r="Q38" s="11" t="n">
        <v>1889.3</v>
      </c>
      <c r="R38" s="11" t="n"/>
      <c r="S38" s="10" t="inlineStr">
        <is>
          <t>✔ ✔ – ✔</t>
        </is>
      </c>
      <c r="T38" s="12" t="inlineStr">
        <is>
          <t>Sheriff OK box checked</t>
        </is>
      </c>
      <c r="U38" s="12" t="inlineStr"/>
      <c r="V38" s="12" t="inlineStr">
        <is>
          <t>OK TO SELL 11/2/26</t>
        </is>
      </c>
      <c r="W38" s="10" t="inlineStr">
        <is>
          <t>McKees Rocks Boro</t>
        </is>
      </c>
      <c r="X38" s="13">
        <f>IFERROR(VLOOKUP(W38,'Transfer Tax'!$A$14:$H$400,8,FALSE),"")</f>
        <v/>
      </c>
      <c r="Y38" s="14" t="n"/>
      <c r="Z38" s="11">
        <f>IF(OR(Y38="",X38=""),"",Y38*'Transfer Tax'!$B$6*X38)</f>
        <v/>
      </c>
      <c r="AA38" s="14" t="n"/>
      <c r="AB38" s="15" t="n"/>
      <c r="AC38" s="14" t="n"/>
      <c r="AD38" s="15" t="n"/>
      <c r="AE38" s="10" t="inlineStr">
        <is>
          <t>2026-10-25</t>
        </is>
      </c>
    </row>
    <row r="39">
      <c r="A39" s="10" t="inlineStr">
        <is>
          <t>73OCT26</t>
        </is>
      </c>
      <c r="B39" s="10" t="inlineStr">
        <is>
          <t>GD-23-002702</t>
        </is>
      </c>
      <c r="C39" s="10" t="inlineStr">
        <is>
          <t>817 Boquet St</t>
        </is>
      </c>
      <c r="D39" s="10" t="inlineStr">
        <is>
          <t>Mc Kees Rocks</t>
        </is>
      </c>
      <c r="E39" s="10" t="inlineStr">
        <is>
          <t>15136</t>
        </is>
      </c>
      <c r="F39" s="10" t="inlineStr">
        <is>
          <t>McKees Rocks</t>
        </is>
      </c>
      <c r="G39" s="10" t="inlineStr">
        <is>
          <t>43-E-170</t>
        </is>
      </c>
      <c r="H39" s="10" t="inlineStr">
        <is>
          <t>0043-E-00170-0000-00</t>
        </is>
      </c>
      <c r="I39" s="10" t="inlineStr">
        <is>
          <t>Residential / unspecified</t>
        </is>
      </c>
      <c r="J39" s="10" t="inlineStr">
        <is>
          <t>Tax lien (Sci Fa sur tax lien)</t>
        </is>
      </c>
      <c r="K39" s="10" t="inlineStr">
        <is>
          <t>Estate / heirs / trust</t>
        </is>
      </c>
      <c r="L39" s="10" t="inlineStr">
        <is>
          <t>Trautman Admin of Estate Joan Trautman, Ronald</t>
        </is>
      </c>
      <c r="M39" s="10" t="inlineStr">
        <is>
          <t>McKees Rocks Borough</t>
        </is>
      </c>
      <c r="N39" s="10" t="inlineStr">
        <is>
          <t>GOEHRING RUTTER &amp; BOEHM</t>
        </is>
      </c>
      <c r="O39" s="11" t="n">
        <v>30916.14</v>
      </c>
      <c r="P39" s="11" t="n"/>
      <c r="Q39" s="11" t="n">
        <v>30916.14</v>
      </c>
      <c r="R39" s="11" t="n"/>
      <c r="S39" s="10" t="inlineStr">
        <is>
          <t>✔ ✔ ✔ ✔</t>
        </is>
      </c>
      <c r="T39" s="12" t="inlineStr">
        <is>
          <t>Sheriff OK box checked</t>
        </is>
      </c>
      <c r="U39" s="12" t="inlineStr"/>
      <c r="V39" s="12" t="inlineStr">
        <is>
          <t>OK TO SELL 11/2/26</t>
        </is>
      </c>
      <c r="W39" s="10" t="inlineStr">
        <is>
          <t>McKees Rocks Boro</t>
        </is>
      </c>
      <c r="X39" s="13">
        <f>IFERROR(VLOOKUP(W39,'Transfer Tax'!$A$14:$H$400,8,FALSE),"")</f>
        <v/>
      </c>
      <c r="Y39" s="14" t="n"/>
      <c r="Z39" s="11">
        <f>IF(OR(Y39="",X39=""),"",Y39*'Transfer Tax'!$B$6*X39)</f>
        <v/>
      </c>
      <c r="AA39" s="14" t="n"/>
      <c r="AB39" s="15" t="n"/>
      <c r="AC39" s="14" t="n"/>
      <c r="AD39" s="15" t="n"/>
      <c r="AE39" s="10" t="inlineStr">
        <is>
          <t>2026-10-25</t>
        </is>
      </c>
    </row>
    <row r="40">
      <c r="A40" s="10" t="inlineStr">
        <is>
          <t>88NOV26</t>
        </is>
      </c>
      <c r="B40" s="10" t="inlineStr">
        <is>
          <t>GD-23-011031</t>
        </is>
      </c>
      <c r="C40" s="10" t="inlineStr">
        <is>
          <t>207 Erie St</t>
        </is>
      </c>
      <c r="D40" s="10" t="inlineStr">
        <is>
          <t>Mc Keesport</t>
        </is>
      </c>
      <c r="E40" s="10" t="inlineStr">
        <is>
          <t>15132</t>
        </is>
      </c>
      <c r="F40" s="10" t="inlineStr">
        <is>
          <t>McKeesport</t>
        </is>
      </c>
      <c r="G40" s="10" t="inlineStr">
        <is>
          <t>308-F-72</t>
        </is>
      </c>
      <c r="H40" s="10" t="inlineStr">
        <is>
          <t>0308-F-00072-0000-00</t>
        </is>
      </c>
      <c r="I40" s="10" t="inlineStr">
        <is>
          <t>Residential / unspecified</t>
        </is>
      </c>
      <c r="J40" s="10" t="inlineStr">
        <is>
          <t>Tax lien (Sci Fa sur tax lien)</t>
        </is>
      </c>
      <c r="K40" s="10" t="inlineStr">
        <is>
          <t>Individual</t>
        </is>
      </c>
      <c r="L40" s="10" t="inlineStr">
        <is>
          <t>Thomas, Julian</t>
        </is>
      </c>
      <c r="M40" s="10" t="inlineStr">
        <is>
          <t>City of McKeesport</t>
        </is>
      </c>
      <c r="N40" s="10" t="inlineStr">
        <is>
          <t>KRATZENBERG &amp; LAZZARO</t>
        </is>
      </c>
      <c r="O40" s="11" t="n">
        <v>24077.56</v>
      </c>
      <c r="P40" s="11" t="n"/>
      <c r="Q40" s="11" t="n">
        <v>24077.56</v>
      </c>
      <c r="R40" s="11" t="n"/>
      <c r="S40" s="10" t="inlineStr">
        <is>
          <t>✔ ✔ – ✔</t>
        </is>
      </c>
      <c r="T40" s="12" t="inlineStr">
        <is>
          <t>Sheriff OK box checked</t>
        </is>
      </c>
      <c r="U40" s="12" t="inlineStr"/>
      <c r="V40" s="12" t="inlineStr">
        <is>
          <t>OK TO SELL 11/2/26</t>
        </is>
      </c>
      <c r="W40" s="10" t="inlineStr">
        <is>
          <t>McKeesport City</t>
        </is>
      </c>
      <c r="X40" s="13">
        <f>IFERROR(VLOOKUP(W40,'Transfer Tax'!$A$14:$H$400,8,FALSE),"")</f>
        <v/>
      </c>
      <c r="Y40" s="14" t="n"/>
      <c r="Z40" s="11">
        <f>IF(OR(Y40="",X40=""),"",Y40*'Transfer Tax'!$B$6*X40)</f>
        <v/>
      </c>
      <c r="AA40" s="14" t="n"/>
      <c r="AB40" s="15" t="n"/>
      <c r="AC40" s="14" t="n"/>
      <c r="AD40" s="15" t="n"/>
      <c r="AE40" s="10" t="inlineStr">
        <is>
          <t>2026-10-25</t>
        </is>
      </c>
    </row>
    <row r="41">
      <c r="A41" s="10" t="inlineStr">
        <is>
          <t>6MAY26</t>
        </is>
      </c>
      <c r="B41" s="10" t="inlineStr">
        <is>
          <t>MG-25-000627</t>
        </is>
      </c>
      <c r="C41" s="10" t="inlineStr">
        <is>
          <t>121 Lippert St</t>
        </is>
      </c>
      <c r="D41" s="10" t="inlineStr">
        <is>
          <t>Pittsburgh</t>
        </is>
      </c>
      <c r="E41" s="10" t="inlineStr">
        <is>
          <t>15209</t>
        </is>
      </c>
      <c r="F41" s="10" t="inlineStr">
        <is>
          <t>Millvale</t>
        </is>
      </c>
      <c r="G41" s="10" t="inlineStr">
        <is>
          <t>118-P-70</t>
        </is>
      </c>
      <c r="H41" s="10" t="inlineStr">
        <is>
          <t>0118-P-00070-0000-00</t>
        </is>
      </c>
      <c r="I41" s="10" t="inlineStr">
        <is>
          <t>Residential / unspecified</t>
        </is>
      </c>
      <c r="J41" s="10" t="inlineStr">
        <is>
          <t>Mortgage foreclosure</t>
        </is>
      </c>
      <c r="K41" s="10" t="inlineStr">
        <is>
          <t>Individual</t>
        </is>
      </c>
      <c r="L41" s="10" t="inlineStr">
        <is>
          <t>Callos, David William</t>
        </is>
      </c>
      <c r="M41" s="10" t="inlineStr">
        <is>
          <t>Wilmington Savings Fund Society FSB</t>
        </is>
      </c>
      <c r="N41" s="10" t="inlineStr">
        <is>
          <t>ROBERTSON ANSCHUTZ SCHNEID</t>
        </is>
      </c>
      <c r="O41" s="11" t="n">
        <v>6071.64</v>
      </c>
      <c r="P41" s="11" t="n"/>
      <c r="Q41" s="11" t="n">
        <v>6071.64</v>
      </c>
      <c r="R41" s="11" t="n">
        <v>229568.47</v>
      </c>
      <c r="S41" s="10" t="inlineStr">
        <is>
          <t>✔ ✔ ✔ ✔</t>
        </is>
      </c>
      <c r="T41" s="12" t="inlineStr">
        <is>
          <t>Sheriff OK box checked</t>
        </is>
      </c>
      <c r="U41" s="12" t="inlineStr"/>
      <c r="V41" s="12" t="inlineStr">
        <is>
          <t>OK TO SELL 11-2-26
RCVD O/C ON 10-13-26 TO REASSESS DAMAGES TO $229,568.47</t>
        </is>
      </c>
      <c r="W41" s="10" t="inlineStr">
        <is>
          <t>Millvale Boro</t>
        </is>
      </c>
      <c r="X41" s="13">
        <f>IFERROR(VLOOKUP(W41,'Transfer Tax'!$A$14:$H$400,8,FALSE),"")</f>
        <v/>
      </c>
      <c r="Y41" s="14" t="n"/>
      <c r="Z41" s="11">
        <f>IF(OR(Y41="",X41=""),"",Y41*'Transfer Tax'!$B$6*X41)</f>
        <v/>
      </c>
      <c r="AA41" s="14" t="n"/>
      <c r="AB41" s="15" t="n"/>
      <c r="AC41" s="14" t="n"/>
      <c r="AD41" s="15" t="n"/>
      <c r="AE41" s="10" t="inlineStr">
        <is>
          <t>2026-10-25</t>
        </is>
      </c>
    </row>
    <row r="42">
      <c r="A42" s="10" t="inlineStr">
        <is>
          <t>51JUL26</t>
        </is>
      </c>
      <c r="B42" s="10" t="inlineStr">
        <is>
          <t>GD-25-007832</t>
        </is>
      </c>
      <c r="C42" s="10" t="inlineStr">
        <is>
          <t>125 Shoup Street</t>
        </is>
      </c>
      <c r="D42" s="10" t="inlineStr">
        <is>
          <t>Pittsburgh</t>
        </is>
      </c>
      <c r="E42" s="10" t="inlineStr">
        <is>
          <t>15209</t>
        </is>
      </c>
      <c r="F42" s="10" t="inlineStr">
        <is>
          <t>Millvale</t>
        </is>
      </c>
      <c r="G42" s="10" t="inlineStr">
        <is>
          <t>79-L-144</t>
        </is>
      </c>
      <c r="H42" s="10" t="inlineStr">
        <is>
          <t>0079-L-00144-0000-00</t>
        </is>
      </c>
      <c r="I42" s="10" t="inlineStr">
        <is>
          <t>Residential / unspecified</t>
        </is>
      </c>
      <c r="J42" s="10" t="inlineStr">
        <is>
          <t>Tax lien (Sci Fa sur tax lien)</t>
        </is>
      </c>
      <c r="K42" s="10" t="inlineStr">
        <is>
          <t>Individual</t>
        </is>
      </c>
      <c r="L42" s="10" t="inlineStr">
        <is>
          <t>Schmitt, Edward</t>
        </is>
      </c>
      <c r="M42" s="10" t="inlineStr">
        <is>
          <t>County of Allegheny</t>
        </is>
      </c>
      <c r="N42" s="10" t="inlineStr">
        <is>
          <t>GOEHRING RUTTER &amp; BOEHM</t>
        </is>
      </c>
      <c r="O42" s="11" t="n">
        <v>36837.55</v>
      </c>
      <c r="P42" s="11" t="n"/>
      <c r="Q42" s="11" t="n">
        <v>36837.55</v>
      </c>
      <c r="R42" s="11" t="n"/>
      <c r="S42" s="10" t="inlineStr">
        <is>
          <t>✔ ✔ ✔ ✔</t>
        </is>
      </c>
      <c r="T42" s="12" t="inlineStr">
        <is>
          <t>Sheriff OK box checked</t>
        </is>
      </c>
      <c r="U42" s="12" t="inlineStr"/>
      <c r="V42" s="12" t="inlineStr">
        <is>
          <t>OK TO SELL 11-2-26</t>
        </is>
      </c>
      <c r="W42" s="10" t="inlineStr">
        <is>
          <t>Millvale Boro</t>
        </is>
      </c>
      <c r="X42" s="13">
        <f>IFERROR(VLOOKUP(W42,'Transfer Tax'!$A$14:$H$400,8,FALSE),"")</f>
        <v/>
      </c>
      <c r="Y42" s="14" t="n"/>
      <c r="Z42" s="11">
        <f>IF(OR(Y42="",X42=""),"",Y42*'Transfer Tax'!$B$6*X42)</f>
        <v/>
      </c>
      <c r="AA42" s="14" t="n"/>
      <c r="AB42" s="15" t="n"/>
      <c r="AC42" s="14" t="n"/>
      <c r="AD42" s="15" t="n"/>
      <c r="AE42" s="10" t="inlineStr">
        <is>
          <t>2026-10-25</t>
        </is>
      </c>
    </row>
    <row r="43">
      <c r="A43" s="10" t="inlineStr">
        <is>
          <t>3NOV26</t>
        </is>
      </c>
      <c r="B43" s="10" t="inlineStr">
        <is>
          <t>GD-17-006494</t>
        </is>
      </c>
      <c r="C43" s="10" t="inlineStr">
        <is>
          <t>2239 Tilbrook Rd</t>
        </is>
      </c>
      <c r="D43" s="10" t="inlineStr">
        <is>
          <t>Monroeville</t>
        </is>
      </c>
      <c r="E43" s="10" t="inlineStr">
        <is>
          <t>15146</t>
        </is>
      </c>
      <c r="F43" s="10" t="inlineStr">
        <is>
          <t>Monroeville</t>
        </is>
      </c>
      <c r="G43" s="10" t="inlineStr">
        <is>
          <t>746-G-187</t>
        </is>
      </c>
      <c r="H43" s="10" t="inlineStr">
        <is>
          <t>0746-G-00187-0000-00</t>
        </is>
      </c>
      <c r="I43" s="10" t="inlineStr">
        <is>
          <t>Residential / unspecified</t>
        </is>
      </c>
      <c r="J43" s="10" t="inlineStr">
        <is>
          <t>Tax lien (Sci Fa sur tax lien)</t>
        </is>
      </c>
      <c r="K43" s="10" t="inlineStr">
        <is>
          <t>Individual</t>
        </is>
      </c>
      <c r="L43" s="10" t="inlineStr">
        <is>
          <t>Conroy, Anna Mae</t>
        </is>
      </c>
      <c r="M43" s="10" t="inlineStr">
        <is>
          <t>Gateway School District</t>
        </is>
      </c>
      <c r="N43" s="10" t="inlineStr">
        <is>
          <t>WEISS BURKARDT KRAMER LLC</t>
        </is>
      </c>
      <c r="O43" s="11" t="n">
        <v>65842.8</v>
      </c>
      <c r="P43" s="11" t="n"/>
      <c r="Q43" s="11" t="n">
        <v>65842.8</v>
      </c>
      <c r="R43" s="11" t="n"/>
      <c r="S43" s="10" t="inlineStr">
        <is>
          <t>✔ ✔ – ✔</t>
        </is>
      </c>
      <c r="T43" s="12" t="inlineStr">
        <is>
          <t>Sheriff OK box checked</t>
        </is>
      </c>
      <c r="U43" s="12" t="inlineStr"/>
      <c r="V43" s="12" t="inlineStr">
        <is>
          <t>OK TO SELL 11/2/26</t>
        </is>
      </c>
      <c r="W43" s="10" t="inlineStr">
        <is>
          <t>Monroeville Municipality</t>
        </is>
      </c>
      <c r="X43" s="13">
        <f>IFERROR(VLOOKUP(W43,'Transfer Tax'!$A$14:$H$400,8,FALSE),"")</f>
        <v/>
      </c>
      <c r="Y43" s="14" t="n"/>
      <c r="Z43" s="11">
        <f>IF(OR(Y43="",X43=""),"",Y43*'Transfer Tax'!$B$6*X43)</f>
        <v/>
      </c>
      <c r="AA43" s="14" t="n"/>
      <c r="AB43" s="15" t="n"/>
      <c r="AC43" s="14" t="n"/>
      <c r="AD43" s="15" t="n"/>
      <c r="AE43" s="10" t="inlineStr">
        <is>
          <t>2026-10-25</t>
        </is>
      </c>
    </row>
    <row r="44">
      <c r="A44" s="10" t="inlineStr">
        <is>
          <t>76NOV26</t>
        </is>
      </c>
      <c r="B44" s="10" t="inlineStr">
        <is>
          <t>MG-23-000860</t>
        </is>
      </c>
      <c r="C44" s="10" t="inlineStr">
        <is>
          <t>405 College Park Drive</t>
        </is>
      </c>
      <c r="D44" s="10" t="inlineStr">
        <is>
          <t>Monroeville</t>
        </is>
      </c>
      <c r="E44" s="10" t="inlineStr">
        <is>
          <t>15146</t>
        </is>
      </c>
      <c r="F44" s="10" t="inlineStr">
        <is>
          <t>Monroeville</t>
        </is>
      </c>
      <c r="G44" s="10" t="inlineStr">
        <is>
          <t>976-H-58</t>
        </is>
      </c>
      <c r="H44" s="10" t="inlineStr">
        <is>
          <t>0976-H-00058-0000-00</t>
        </is>
      </c>
      <c r="I44" s="10" t="inlineStr">
        <is>
          <t>Residential / unspecified</t>
        </is>
      </c>
      <c r="J44" s="10" t="inlineStr">
        <is>
          <t>Mortgage foreclosure</t>
        </is>
      </c>
      <c r="K44" s="10" t="inlineStr">
        <is>
          <t>Individual</t>
        </is>
      </c>
      <c r="L44" s="10" t="inlineStr">
        <is>
          <t>Berkebile, Richard K</t>
        </is>
      </c>
      <c r="M44" s="10" t="inlineStr">
        <is>
          <t>Wilmington Savings Fund Society FSB</t>
        </is>
      </c>
      <c r="N44" s="10" t="inlineStr">
        <is>
          <t>HILL WALLACK LLP</t>
        </is>
      </c>
      <c r="O44" s="11" t="n">
        <v>8495.75</v>
      </c>
      <c r="P44" s="11" t="n"/>
      <c r="Q44" s="11" t="n">
        <v>8495.75</v>
      </c>
      <c r="R44" s="11" t="n"/>
      <c r="S44" s="10" t="inlineStr">
        <is>
          <t>✔ ✔ – ✔</t>
        </is>
      </c>
      <c r="T44" s="12" t="inlineStr">
        <is>
          <t>Sheriff OK box checked</t>
        </is>
      </c>
      <c r="U44" s="12" t="inlineStr"/>
      <c r="V44" s="12" t="inlineStr">
        <is>
          <t>OK TO SELL 11/2/26</t>
        </is>
      </c>
      <c r="W44" s="10" t="inlineStr">
        <is>
          <t>Monroeville Municipality</t>
        </is>
      </c>
      <c r="X44" s="13">
        <f>IFERROR(VLOOKUP(W44,'Transfer Tax'!$A$14:$H$400,8,FALSE),"")</f>
        <v/>
      </c>
      <c r="Y44" s="14" t="n"/>
      <c r="Z44" s="11">
        <f>IF(OR(Y44="",X44=""),"",Y44*'Transfer Tax'!$B$6*X44)</f>
        <v/>
      </c>
      <c r="AA44" s="14" t="n"/>
      <c r="AB44" s="15" t="n"/>
      <c r="AC44" s="14" t="n"/>
      <c r="AD44" s="15" t="n"/>
      <c r="AE44" s="10" t="inlineStr">
        <is>
          <t>2026-10-25</t>
        </is>
      </c>
    </row>
    <row r="45">
      <c r="A45" s="10" t="inlineStr">
        <is>
          <t>7NOV26</t>
        </is>
      </c>
      <c r="B45" s="10" t="inlineStr">
        <is>
          <t>MG-26-000444</t>
        </is>
      </c>
      <c r="C45" s="10" t="inlineStr">
        <is>
          <t>810 Sweetleaf Drive</t>
        </is>
      </c>
      <c r="D45" s="10" t="inlineStr">
        <is>
          <t>Monroeville</t>
        </is>
      </c>
      <c r="E45" s="10" t="inlineStr">
        <is>
          <t>15146</t>
        </is>
      </c>
      <c r="F45" s="10" t="inlineStr">
        <is>
          <t>Monroeville</t>
        </is>
      </c>
      <c r="G45" s="10" t="inlineStr">
        <is>
          <t>742-A-233</t>
        </is>
      </c>
      <c r="H45" s="10" t="inlineStr">
        <is>
          <t>0742-A-00233-0000-00</t>
        </is>
      </c>
      <c r="I45" s="10" t="inlineStr">
        <is>
          <t>Residential / unspecified</t>
        </is>
      </c>
      <c r="J45" s="10" t="inlineStr">
        <is>
          <t>Mortgage foreclosure</t>
        </is>
      </c>
      <c r="K45" s="10" t="inlineStr">
        <is>
          <t>Individual</t>
        </is>
      </c>
      <c r="L45" s="10" t="inlineStr">
        <is>
          <t>Cozze-Corbett, Samantha</t>
        </is>
      </c>
      <c r="M45" s="10" t="inlineStr">
        <is>
          <t>First National Bank of Pennsylvania</t>
        </is>
      </c>
      <c r="N45" s="10" t="inlineStr">
        <is>
          <t>GRENEN &amp; BIRSIC P.C.</t>
        </is>
      </c>
      <c r="O45" s="11" t="n">
        <v>2374.2</v>
      </c>
      <c r="P45" s="11" t="n"/>
      <c r="Q45" s="11" t="n">
        <v>2374.2</v>
      </c>
      <c r="R45" s="11" t="n"/>
      <c r="S45" s="10" t="inlineStr">
        <is>
          <t>✔ ✔ – ✔</t>
        </is>
      </c>
      <c r="T45" s="12" t="inlineStr">
        <is>
          <t>Sheriff OK box checked</t>
        </is>
      </c>
      <c r="U45" s="12" t="inlineStr"/>
      <c r="V45" s="12" t="inlineStr">
        <is>
          <t>OK TO SELL 11/2/26</t>
        </is>
      </c>
      <c r="W45" s="10" t="inlineStr">
        <is>
          <t>Monroeville Municipality</t>
        </is>
      </c>
      <c r="X45" s="13">
        <f>IFERROR(VLOOKUP(W45,'Transfer Tax'!$A$14:$H$400,8,FALSE),"")</f>
        <v/>
      </c>
      <c r="Y45" s="14" t="n"/>
      <c r="Z45" s="11">
        <f>IF(OR(Y45="",X45=""),"",Y45*'Transfer Tax'!$B$6*X45)</f>
        <v/>
      </c>
      <c r="AA45" s="14" t="n"/>
      <c r="AB45" s="15" t="n"/>
      <c r="AC45" s="14" t="n"/>
      <c r="AD45" s="15" t="n"/>
      <c r="AE45" s="10" t="inlineStr">
        <is>
          <t>2026-10-25</t>
        </is>
      </c>
    </row>
    <row r="46">
      <c r="A46" s="10" t="inlineStr">
        <is>
          <t>107NOV26</t>
        </is>
      </c>
      <c r="B46" s="10" t="inlineStr">
        <is>
          <t>GD-25-008125</t>
        </is>
      </c>
      <c r="C46" s="10" t="inlineStr">
        <is>
          <t>219 Wyngate Rd</t>
        </is>
      </c>
      <c r="D46" s="10" t="inlineStr">
        <is>
          <t>Coraopolis</t>
        </is>
      </c>
      <c r="E46" s="10" t="inlineStr">
        <is>
          <t>15108</t>
        </is>
      </c>
      <c r="F46" s="10" t="inlineStr">
        <is>
          <t>Moon</t>
        </is>
      </c>
      <c r="G46" s="10" t="inlineStr">
        <is>
          <t>598-E-238</t>
        </is>
      </c>
      <c r="H46" s="10" t="inlineStr">
        <is>
          <t>0598-E-00238-0000-00</t>
        </is>
      </c>
      <c r="I46" s="10" t="inlineStr">
        <is>
          <t>Residential / unspecified</t>
        </is>
      </c>
      <c r="J46" s="10" t="inlineStr">
        <is>
          <t>Tax lien (Sci Fa sur tax lien)</t>
        </is>
      </c>
      <c r="K46" s="10" t="inlineStr">
        <is>
          <t>Estate / heirs / trust</t>
        </is>
      </c>
      <c r="L46" s="10" t="inlineStr">
        <is>
          <t>Unknown Successor Trustees of the House Family Trust</t>
        </is>
      </c>
      <c r="M46" s="10" t="inlineStr">
        <is>
          <t>Moon Township</t>
        </is>
      </c>
      <c r="N46" s="10" t="inlineStr">
        <is>
          <t>GOEHRING RUTTER &amp; BOEHM</t>
        </is>
      </c>
      <c r="O46" s="11" t="n">
        <v>15614.37</v>
      </c>
      <c r="P46" s="11" t="n"/>
      <c r="Q46" s="11" t="n">
        <v>15614.37</v>
      </c>
      <c r="R46" s="11" t="n"/>
      <c r="S46" s="10" t="inlineStr">
        <is>
          <t>✔ ✔ – ✔</t>
        </is>
      </c>
      <c r="T46" s="12" t="inlineStr">
        <is>
          <t>Sheriff OK box checked</t>
        </is>
      </c>
      <c r="U46" s="12" t="inlineStr"/>
      <c r="V46" s="12" t="inlineStr">
        <is>
          <t>OK TO SELL 11/2/26</t>
        </is>
      </c>
      <c r="W46" s="10" t="inlineStr">
        <is>
          <t>Moon Twp</t>
        </is>
      </c>
      <c r="X46" s="13">
        <f>IFERROR(VLOOKUP(W46,'Transfer Tax'!$A$14:$H$400,8,FALSE),"")</f>
        <v/>
      </c>
      <c r="Y46" s="14" t="n"/>
      <c r="Z46" s="11">
        <f>IF(OR(Y46="",X46=""),"",Y46*'Transfer Tax'!$B$6*X46)</f>
        <v/>
      </c>
      <c r="AA46" s="14" t="n"/>
      <c r="AB46" s="15" t="n"/>
      <c r="AC46" s="14" t="n"/>
      <c r="AD46" s="15" t="n"/>
      <c r="AE46" s="10" t="inlineStr">
        <is>
          <t>2026-10-25</t>
        </is>
      </c>
    </row>
    <row r="47">
      <c r="A47" s="10" t="inlineStr">
        <is>
          <t>19NOV26</t>
        </is>
      </c>
      <c r="B47" s="10" t="inlineStr">
        <is>
          <t>MG-19-001316</t>
        </is>
      </c>
      <c r="C47" s="10" t="inlineStr">
        <is>
          <t>246 Ashland Avenue</t>
        </is>
      </c>
      <c r="D47" s="10" t="inlineStr">
        <is>
          <t>Pittsburgh</t>
        </is>
      </c>
      <c r="E47" s="10" t="inlineStr">
        <is>
          <t>15228</t>
        </is>
      </c>
      <c r="F47" s="10" t="inlineStr">
        <is>
          <t>Mount Lebanon</t>
        </is>
      </c>
      <c r="G47" s="10" t="inlineStr">
        <is>
          <t>141-P-48</t>
        </is>
      </c>
      <c r="H47" s="10" t="inlineStr">
        <is>
          <t>0141-P-00048-0000-00</t>
        </is>
      </c>
      <c r="I47" s="10" t="inlineStr">
        <is>
          <t>Residential / unspecified</t>
        </is>
      </c>
      <c r="J47" s="10" t="inlineStr">
        <is>
          <t>Mortgage foreclosure</t>
        </is>
      </c>
      <c r="K47" s="10" t="inlineStr">
        <is>
          <t>Individual</t>
        </is>
      </c>
      <c r="L47" s="10" t="inlineStr">
        <is>
          <t>Pilarski, Elizabeth E</t>
        </is>
      </c>
      <c r="M47" s="10" t="inlineStr">
        <is>
          <t>U.S. Bank Trust National Association</t>
        </is>
      </c>
      <c r="N47" s="10" t="inlineStr">
        <is>
          <t>LOGS LEGAL GROUP LLC</t>
        </is>
      </c>
      <c r="O47" s="11" t="n">
        <v>32120.13</v>
      </c>
      <c r="P47" s="11" t="n"/>
      <c r="Q47" s="11" t="n">
        <v>32120.13</v>
      </c>
      <c r="R47" s="11" t="n"/>
      <c r="S47" s="10" t="inlineStr">
        <is>
          <t>✔ ✔ – ✔</t>
        </is>
      </c>
      <c r="T47" s="12" t="inlineStr">
        <is>
          <t>Sheriff OK box checked</t>
        </is>
      </c>
      <c r="U47" s="12" t="inlineStr"/>
      <c r="V47" s="12" t="inlineStr">
        <is>
          <t>OK TO SELL 11/2/26</t>
        </is>
      </c>
      <c r="W47" s="10" t="inlineStr">
        <is>
          <t>Mount Lebanon Municipality</t>
        </is>
      </c>
      <c r="X47" s="13">
        <f>IFERROR(VLOOKUP(W47,'Transfer Tax'!$A$14:$H$400,8,FALSE),"")</f>
        <v/>
      </c>
      <c r="Y47" s="14" t="n"/>
      <c r="Z47" s="11">
        <f>IF(OR(Y47="",X47=""),"",Y47*'Transfer Tax'!$B$6*X47)</f>
        <v/>
      </c>
      <c r="AA47" s="14" t="n"/>
      <c r="AB47" s="15" t="n"/>
      <c r="AC47" s="14" t="n"/>
      <c r="AD47" s="15" t="n"/>
      <c r="AE47" s="10" t="inlineStr">
        <is>
          <t>2026-10-25</t>
        </is>
      </c>
    </row>
    <row r="48">
      <c r="A48" s="10" t="inlineStr">
        <is>
          <t>30NOV26</t>
        </is>
      </c>
      <c r="B48" s="10" t="inlineStr">
        <is>
          <t>MG-26-000438</t>
        </is>
      </c>
      <c r="C48" s="10" t="inlineStr">
        <is>
          <t>709 Pinoak Road</t>
        </is>
      </c>
      <c r="D48" s="10" t="inlineStr">
        <is>
          <t>Pittsburgh</t>
        </is>
      </c>
      <c r="E48" s="10" t="inlineStr">
        <is>
          <t>15243</t>
        </is>
      </c>
      <c r="F48" s="10" t="inlineStr">
        <is>
          <t>Mount Lebanon</t>
        </is>
      </c>
      <c r="G48" s="10" t="inlineStr">
        <is>
          <t>99-N-320</t>
        </is>
      </c>
      <c r="H48" s="10" t="inlineStr">
        <is>
          <t>0099-N-00320-0000-00</t>
        </is>
      </c>
      <c r="I48" s="10" t="inlineStr">
        <is>
          <t>Residential / unspecified</t>
        </is>
      </c>
      <c r="J48" s="10" t="inlineStr">
        <is>
          <t>Mortgage foreclosure</t>
        </is>
      </c>
      <c r="K48" s="10" t="inlineStr">
        <is>
          <t>Individual</t>
        </is>
      </c>
      <c r="L48" s="10" t="inlineStr">
        <is>
          <t>Schofield Jr., Richard E</t>
        </is>
      </c>
      <c r="M48" s="10" t="inlineStr">
        <is>
          <t>Dollar Bank Federal Savings Bank</t>
        </is>
      </c>
      <c r="N48" s="10" t="inlineStr">
        <is>
          <t>GRENEN &amp; BIRSIC P.C.</t>
        </is>
      </c>
      <c r="O48" s="11" t="n">
        <v>28596.48</v>
      </c>
      <c r="P48" s="11" t="n"/>
      <c r="Q48" s="11" t="n">
        <v>28596.48</v>
      </c>
      <c r="R48" s="11" t="n"/>
      <c r="S48" s="10" t="inlineStr">
        <is>
          <t>✔ ✔ – ✔</t>
        </is>
      </c>
      <c r="T48" s="12" t="inlineStr">
        <is>
          <t>Sheriff OK box checked</t>
        </is>
      </c>
      <c r="U48" s="12" t="inlineStr"/>
      <c r="V48" s="12" t="inlineStr">
        <is>
          <t>OK TO SELL 11/2/26</t>
        </is>
      </c>
      <c r="W48" s="10" t="inlineStr">
        <is>
          <t>Mount Lebanon Municipality</t>
        </is>
      </c>
      <c r="X48" s="13">
        <f>IFERROR(VLOOKUP(W48,'Transfer Tax'!$A$14:$H$400,8,FALSE),"")</f>
        <v/>
      </c>
      <c r="Y48" s="14" t="n"/>
      <c r="Z48" s="11">
        <f>IF(OR(Y48="",X48=""),"",Y48*'Transfer Tax'!$B$6*X48)</f>
        <v/>
      </c>
      <c r="AA48" s="14" t="n"/>
      <c r="AB48" s="15" t="n"/>
      <c r="AC48" s="14" t="n"/>
      <c r="AD48" s="15" t="n"/>
      <c r="AE48" s="10" t="inlineStr">
        <is>
          <t>2026-10-25</t>
        </is>
      </c>
    </row>
    <row r="49">
      <c r="A49" s="10" t="inlineStr">
        <is>
          <t>35NOV26</t>
        </is>
      </c>
      <c r="B49" s="10" t="inlineStr">
        <is>
          <t>MG-26-000100</t>
        </is>
      </c>
      <c r="C49" s="10" t="inlineStr">
        <is>
          <t>871 Valleyview Road</t>
        </is>
      </c>
      <c r="D49" s="10" t="inlineStr">
        <is>
          <t>Pittsburgh</t>
        </is>
      </c>
      <c r="E49" s="10" t="inlineStr">
        <is>
          <t>15243</t>
        </is>
      </c>
      <c r="F49" s="10" t="inlineStr">
        <is>
          <t>Mount Lebanon</t>
        </is>
      </c>
      <c r="G49" s="10" t="inlineStr">
        <is>
          <t>99-J-100</t>
        </is>
      </c>
      <c r="H49" s="10" t="inlineStr">
        <is>
          <t>0099-J-00100-0000-00</t>
        </is>
      </c>
      <c r="I49" s="10" t="inlineStr">
        <is>
          <t>Residential / unspecified</t>
        </is>
      </c>
      <c r="J49" s="10" t="inlineStr">
        <is>
          <t>Mortgage foreclosure</t>
        </is>
      </c>
      <c r="K49" s="10" t="inlineStr">
        <is>
          <t>Individual</t>
        </is>
      </c>
      <c r="L49" s="10" t="inlineStr">
        <is>
          <t>Prendergast, John M</t>
        </is>
      </c>
      <c r="M49" s="10" t="inlineStr">
        <is>
          <t>Farmers National Bank of Canfield</t>
        </is>
      </c>
      <c r="N49" s="10" t="inlineStr">
        <is>
          <t>LYNN KING &amp; SCHREFFLER</t>
        </is>
      </c>
      <c r="O49" s="11" t="n">
        <v>20635.04</v>
      </c>
      <c r="P49" s="11" t="n"/>
      <c r="Q49" s="11" t="n">
        <v>20635.04</v>
      </c>
      <c r="R49" s="11" t="n"/>
      <c r="S49" s="10" t="inlineStr">
        <is>
          <t>✔ ✔ – ✔</t>
        </is>
      </c>
      <c r="T49" s="12" t="inlineStr">
        <is>
          <t>Sheriff OK box checked</t>
        </is>
      </c>
      <c r="U49" s="12" t="inlineStr"/>
      <c r="V49" s="12" t="inlineStr">
        <is>
          <t>OK TO SELL 11/2/26</t>
        </is>
      </c>
      <c r="W49" s="10" t="inlineStr">
        <is>
          <t>Mount Lebanon Municipality</t>
        </is>
      </c>
      <c r="X49" s="13">
        <f>IFERROR(VLOOKUP(W49,'Transfer Tax'!$A$14:$H$400,8,FALSE),"")</f>
        <v/>
      </c>
      <c r="Y49" s="14" t="n"/>
      <c r="Z49" s="11">
        <f>IF(OR(Y49="",X49=""),"",Y49*'Transfer Tax'!$B$6*X49)</f>
        <v/>
      </c>
      <c r="AA49" s="14" t="n"/>
      <c r="AB49" s="15" t="n"/>
      <c r="AC49" s="14" t="n"/>
      <c r="AD49" s="15" t="n"/>
      <c r="AE49" s="10" t="inlineStr">
        <is>
          <t>2026-10-25</t>
        </is>
      </c>
    </row>
    <row r="50">
      <c r="A50" s="10" t="inlineStr">
        <is>
          <t>142NOV26</t>
        </is>
      </c>
      <c r="B50" s="10" t="inlineStr">
        <is>
          <t>GD-26-002371</t>
        </is>
      </c>
      <c r="C50" s="10" t="inlineStr">
        <is>
          <t>1608 Arlington Ave</t>
        </is>
      </c>
      <c r="D50" s="10" t="inlineStr">
        <is>
          <t>Pittsburgh</t>
        </is>
      </c>
      <c r="E50" s="10" t="inlineStr">
        <is>
          <t>15210</t>
        </is>
      </c>
      <c r="F50" s="10" t="inlineStr">
        <is>
          <t>Mount Oliver</t>
        </is>
      </c>
      <c r="G50" s="10" t="inlineStr">
        <is>
          <t>14-L-260</t>
        </is>
      </c>
      <c r="H50" s="10" t="inlineStr">
        <is>
          <t>0014-L-00260-0000-00</t>
        </is>
      </c>
      <c r="I50" s="10" t="inlineStr">
        <is>
          <t>Residential / unspecified</t>
        </is>
      </c>
      <c r="J50" s="10" t="inlineStr">
        <is>
          <t>Tax lien (Sci Fa sur tax lien)</t>
        </is>
      </c>
      <c r="K50" s="10" t="inlineStr">
        <is>
          <t>Individual</t>
        </is>
      </c>
      <c r="L50" s="10" t="inlineStr">
        <is>
          <t>Garrett, Nancy</t>
        </is>
      </c>
      <c r="M50" s="10" t="inlineStr">
        <is>
          <t>Mt. Oliver Borough</t>
        </is>
      </c>
      <c r="N50" s="10" t="inlineStr">
        <is>
          <t>KRATZENBERG &amp; LAZZARO</t>
        </is>
      </c>
      <c r="O50" s="11" t="n">
        <v>20517.18</v>
      </c>
      <c r="P50" s="11" t="n"/>
      <c r="Q50" s="11" t="n">
        <v>20517.18</v>
      </c>
      <c r="R50" s="11" t="n"/>
      <c r="S50" s="10" t="inlineStr">
        <is>
          <t>✔ ✔ – ✔</t>
        </is>
      </c>
      <c r="T50" s="12" t="inlineStr">
        <is>
          <t>Sheriff OK box checked</t>
        </is>
      </c>
      <c r="U50" s="12" t="inlineStr"/>
      <c r="V50" s="12" t="inlineStr">
        <is>
          <t>OK TO SELL 11/2/26</t>
        </is>
      </c>
      <c r="W50" s="10" t="inlineStr">
        <is>
          <t>Mount Oliver Boro</t>
        </is>
      </c>
      <c r="X50" s="13">
        <f>IFERROR(VLOOKUP(W50,'Transfer Tax'!$A$14:$H$400,8,FALSE),"")</f>
        <v/>
      </c>
      <c r="Y50" s="14" t="n"/>
      <c r="Z50" s="11">
        <f>IF(OR(Y50="",X50=""),"",Y50*'Transfer Tax'!$B$6*X50)</f>
        <v/>
      </c>
      <c r="AA50" s="14" t="n"/>
      <c r="AB50" s="15" t="n"/>
      <c r="AC50" s="14" t="n"/>
      <c r="AD50" s="15" t="n"/>
      <c r="AE50" s="10" t="inlineStr">
        <is>
          <t>2026-10-25</t>
        </is>
      </c>
    </row>
    <row r="51">
      <c r="A51" s="10" t="inlineStr">
        <is>
          <t>72JUL26</t>
        </is>
      </c>
      <c r="B51" s="10" t="inlineStr">
        <is>
          <t>GD-24-007323</t>
        </is>
      </c>
      <c r="C51" s="10" t="inlineStr">
        <is>
          <t>150 East Virginia Avenue</t>
        </is>
      </c>
      <c r="D51" s="10" t="inlineStr">
        <is>
          <t>Homestead</t>
        </is>
      </c>
      <c r="E51" s="10" t="inlineStr">
        <is>
          <t>15120</t>
        </is>
      </c>
      <c r="F51" s="10" t="inlineStr">
        <is>
          <t>Munhall</t>
        </is>
      </c>
      <c r="G51" s="10" t="inlineStr">
        <is>
          <t>132-S-194</t>
        </is>
      </c>
      <c r="H51" s="10" t="inlineStr">
        <is>
          <t>0132-S-00194-0000-00</t>
        </is>
      </c>
      <c r="I51" s="10" t="inlineStr">
        <is>
          <t>Residential / unspecified</t>
        </is>
      </c>
      <c r="J51" s="10" t="inlineStr">
        <is>
          <t>Tax lien (Sci Fa sur tax lien)</t>
        </is>
      </c>
      <c r="K51" s="10" t="inlineStr">
        <is>
          <t>Individual</t>
        </is>
      </c>
      <c r="L51" s="10" t="inlineStr">
        <is>
          <t>Willie, Theresa</t>
        </is>
      </c>
      <c r="M51" s="10" t="inlineStr">
        <is>
          <t>County of Allegheny</t>
        </is>
      </c>
      <c r="N51" s="10" t="inlineStr">
        <is>
          <t>GOEHRING RUTTER &amp; BOEHM</t>
        </is>
      </c>
      <c r="O51" s="11" t="n">
        <v>28591.22</v>
      </c>
      <c r="P51" s="11" t="n"/>
      <c r="Q51" s="11" t="n">
        <v>28591.22</v>
      </c>
      <c r="R51" s="11" t="n"/>
      <c r="S51" s="10" t="inlineStr">
        <is>
          <t>✔ ✔ ✔ ✔</t>
        </is>
      </c>
      <c r="T51" s="12" t="inlineStr">
        <is>
          <t>Sheriff OK box checked</t>
        </is>
      </c>
      <c r="U51" s="12" t="inlineStr"/>
      <c r="V51" s="12" t="inlineStr">
        <is>
          <t>OK TO SELL 11-2-26</t>
        </is>
      </c>
      <c r="W51" s="10" t="inlineStr">
        <is>
          <t>Munhall Boro</t>
        </is>
      </c>
      <c r="X51" s="13">
        <f>IFERROR(VLOOKUP(W51,'Transfer Tax'!$A$14:$H$400,8,FALSE),"")</f>
        <v/>
      </c>
      <c r="Y51" s="14" t="n"/>
      <c r="Z51" s="11">
        <f>IF(OR(Y51="",X51=""),"",Y51*'Transfer Tax'!$B$6*X51)</f>
        <v/>
      </c>
      <c r="AA51" s="14" t="n"/>
      <c r="AB51" s="15" t="n"/>
      <c r="AC51" s="14" t="n"/>
      <c r="AD51" s="15" t="n"/>
      <c r="AE51" s="10" t="inlineStr">
        <is>
          <t>2026-10-25</t>
        </is>
      </c>
    </row>
    <row r="52">
      <c r="A52" s="10" t="inlineStr">
        <is>
          <t>22SEP26</t>
        </is>
      </c>
      <c r="B52" s="10" t="inlineStr">
        <is>
          <t>GD-26-000602</t>
        </is>
      </c>
      <c r="C52" s="10" t="inlineStr">
        <is>
          <t>700 E 17th Ave</t>
        </is>
      </c>
      <c r="D52" s="10" t="inlineStr">
        <is>
          <t>Homestead</t>
        </is>
      </c>
      <c r="E52" s="10" t="inlineStr">
        <is>
          <t>15120</t>
        </is>
      </c>
      <c r="F52" s="10" t="inlineStr">
        <is>
          <t>Munhall</t>
        </is>
      </c>
      <c r="G52" s="10" t="inlineStr">
        <is>
          <t>131-D-333</t>
        </is>
      </c>
      <c r="H52" s="10" t="inlineStr">
        <is>
          <t>0131-D-00333-0000-00</t>
        </is>
      </c>
      <c r="I52" s="10" t="inlineStr">
        <is>
          <t>Residential / unspecified</t>
        </is>
      </c>
      <c r="J52" s="10" t="inlineStr">
        <is>
          <t>Mortgage foreclosure</t>
        </is>
      </c>
      <c r="K52" s="10" t="inlineStr">
        <is>
          <t>Entity (LLC/LP/Inc)</t>
        </is>
      </c>
      <c r="L52" s="10" t="inlineStr">
        <is>
          <t>ENK Real Estate Investments LLC</t>
        </is>
      </c>
      <c r="M52" s="10" t="inlineStr">
        <is>
          <t>U.S. Bank Trust Company National Association</t>
        </is>
      </c>
      <c r="N52" s="10" t="inlineStr">
        <is>
          <t>FRIEDMAN VARTOLO LLP</t>
        </is>
      </c>
      <c r="O52" s="11" t="n">
        <v>5687.19</v>
      </c>
      <c r="P52" s="11" t="n"/>
      <c r="Q52" s="11" t="n">
        <v>5687.19</v>
      </c>
      <c r="R52" s="11" t="n">
        <v>177189.64</v>
      </c>
      <c r="S52" s="10" t="inlineStr">
        <is>
          <t>✔ ✔ ✔ ✔</t>
        </is>
      </c>
      <c r="T52" s="12" t="inlineStr">
        <is>
          <t>Sheriff OK box checked</t>
        </is>
      </c>
      <c r="U52" s="12" t="inlineStr"/>
      <c r="V52" s="12" t="inlineStr">
        <is>
          <t>OK TO SELL 11-2-26
O/C TO REASSESS DAMAGES TO $177,189.64</t>
        </is>
      </c>
      <c r="W52" s="10" t="inlineStr">
        <is>
          <t>Munhall Boro</t>
        </is>
      </c>
      <c r="X52" s="13">
        <f>IFERROR(VLOOKUP(W52,'Transfer Tax'!$A$14:$H$400,8,FALSE),"")</f>
        <v/>
      </c>
      <c r="Y52" s="14" t="n"/>
      <c r="Z52" s="11">
        <f>IF(OR(Y52="",X52=""),"",Y52*'Transfer Tax'!$B$6*X52)</f>
        <v/>
      </c>
      <c r="AA52" s="14" t="n"/>
      <c r="AB52" s="15" t="n"/>
      <c r="AC52" s="14" t="n"/>
      <c r="AD52" s="15" t="n"/>
      <c r="AE52" s="10" t="inlineStr">
        <is>
          <t>2026-10-25</t>
        </is>
      </c>
    </row>
    <row r="53">
      <c r="A53" s="10" t="inlineStr">
        <is>
          <t>99NOV26</t>
        </is>
      </c>
      <c r="B53" s="10" t="inlineStr">
        <is>
          <t>GD-24-004866</t>
        </is>
      </c>
      <c r="C53" s="10" t="inlineStr">
        <is>
          <t>1753 Wolfe Avenue</t>
        </is>
      </c>
      <c r="D53" s="10" t="inlineStr">
        <is>
          <t>Braddock</t>
        </is>
      </c>
      <c r="E53" s="10" t="inlineStr">
        <is>
          <t>15104</t>
        </is>
      </c>
      <c r="F53" s="10" t="inlineStr">
        <is>
          <t>North Braddock</t>
        </is>
      </c>
      <c r="G53" s="10" t="inlineStr">
        <is>
          <t>375-F-324</t>
        </is>
      </c>
      <c r="H53" s="10" t="inlineStr">
        <is>
          <t>0375-F-00324-0000-00</t>
        </is>
      </c>
      <c r="I53" s="10" t="inlineStr">
        <is>
          <t>Residential / unspecified</t>
        </is>
      </c>
      <c r="J53" s="10" t="inlineStr">
        <is>
          <t>Tax lien (Sci Fa sur tax lien)</t>
        </is>
      </c>
      <c r="K53" s="10" t="inlineStr">
        <is>
          <t>Individual</t>
        </is>
      </c>
      <c r="L53" s="10" t="inlineStr">
        <is>
          <t>Perez, Amado Justo</t>
        </is>
      </c>
      <c r="M53" s="10" t="inlineStr">
        <is>
          <t>Woodland Hills School District</t>
        </is>
      </c>
      <c r="N53" s="10" t="inlineStr">
        <is>
          <t>GOEHRING RUTTER &amp; BOEHM</t>
        </is>
      </c>
      <c r="O53" s="11" t="n">
        <v>25408.18</v>
      </c>
      <c r="P53" s="11" t="n"/>
      <c r="Q53" s="11" t="n">
        <v>25408.18</v>
      </c>
      <c r="R53" s="11" t="n"/>
      <c r="S53" s="10" t="inlineStr">
        <is>
          <t>✔ ✔ – ✔</t>
        </is>
      </c>
      <c r="T53" s="12" t="inlineStr">
        <is>
          <t>Sheriff OK box checked</t>
        </is>
      </c>
      <c r="U53" s="12" t="inlineStr"/>
      <c r="V53" s="12" t="inlineStr">
        <is>
          <t>OK TO SELL 11/2/26</t>
        </is>
      </c>
      <c r="W53" s="10" t="inlineStr">
        <is>
          <t>North Braddock Boro</t>
        </is>
      </c>
      <c r="X53" s="13">
        <f>IFERROR(VLOOKUP(W53,'Transfer Tax'!$A$14:$H$400,8,FALSE),"")</f>
        <v/>
      </c>
      <c r="Y53" s="14" t="n"/>
      <c r="Z53" s="11">
        <f>IF(OR(Y53="",X53=""),"",Y53*'Transfer Tax'!$B$6*X53)</f>
        <v/>
      </c>
      <c r="AA53" s="14" t="n"/>
      <c r="AB53" s="15" t="n"/>
      <c r="AC53" s="14" t="n"/>
      <c r="AD53" s="15" t="n"/>
      <c r="AE53" s="10" t="inlineStr">
        <is>
          <t>2026-10-25</t>
        </is>
      </c>
    </row>
    <row r="54">
      <c r="A54" s="10" t="inlineStr">
        <is>
          <t>26SEP26</t>
        </is>
      </c>
      <c r="B54" s="10" t="inlineStr">
        <is>
          <t>MG-26-000185</t>
        </is>
      </c>
      <c r="C54" s="10" t="inlineStr">
        <is>
          <t>108 Tintsman Ave</t>
        </is>
      </c>
      <c r="D54" s="10" t="inlineStr">
        <is>
          <t>North Versailles</t>
        </is>
      </c>
      <c r="E54" s="10" t="inlineStr">
        <is>
          <t>15137</t>
        </is>
      </c>
      <c r="F54" s="10" t="inlineStr">
        <is>
          <t>North Versailles</t>
        </is>
      </c>
      <c r="G54" s="10" t="inlineStr">
        <is>
          <t>456-S-280</t>
        </is>
      </c>
      <c r="H54" s="10" t="inlineStr">
        <is>
          <t>0456-S-00280-0000-00</t>
        </is>
      </c>
      <c r="I54" s="10" t="inlineStr">
        <is>
          <t>Residential / unspecified</t>
        </is>
      </c>
      <c r="J54" s="10" t="inlineStr">
        <is>
          <t>Mortgage foreclosure</t>
        </is>
      </c>
      <c r="K54" s="10" t="inlineStr">
        <is>
          <t>Individual</t>
        </is>
      </c>
      <c r="L54" s="10" t="inlineStr">
        <is>
          <t>GIBALA, SANDRA L.</t>
        </is>
      </c>
      <c r="M54" s="10" t="inlineStr">
        <is>
          <t>Huntington National Bank</t>
        </is>
      </c>
      <c r="N54" s="10" t="inlineStr">
        <is>
          <t>MANLEY DEAS KOCHALSKI LLC</t>
        </is>
      </c>
      <c r="O54" s="11" t="n">
        <v>11852.24</v>
      </c>
      <c r="P54" s="11" t="n"/>
      <c r="Q54" s="11" t="n">
        <v>11852.24</v>
      </c>
      <c r="R54" s="11" t="n"/>
      <c r="S54" s="10" t="inlineStr">
        <is>
          <t>✔ ✔ ✔ ✔</t>
        </is>
      </c>
      <c r="T54" s="12" t="inlineStr">
        <is>
          <t>Sheriff OK box checked</t>
        </is>
      </c>
      <c r="U54" s="12" t="inlineStr">
        <is>
          <t>Prior winning bidder forfeited (property re-offered)</t>
        </is>
      </c>
      <c r="V54" s="12" t="inlineStr">
        <is>
          <t>MUST RECALCULATE OPENING BID PRIOR TO SALE...NEW 10/5/26 C+T BID $9631.35
OK TO SELL 11-2-26
FORFEITED 10% 9-8-26</t>
        </is>
      </c>
      <c r="W54" s="10" t="inlineStr">
        <is>
          <t>North Versailles Twp</t>
        </is>
      </c>
      <c r="X54" s="13">
        <f>IFERROR(VLOOKUP(W54,'Transfer Tax'!$A$14:$H$400,8,FALSE),"")</f>
        <v/>
      </c>
      <c r="Y54" s="14" t="n"/>
      <c r="Z54" s="11">
        <f>IF(OR(Y54="",X54=""),"",Y54*'Transfer Tax'!$B$6*X54)</f>
        <v/>
      </c>
      <c r="AA54" s="14" t="n"/>
      <c r="AB54" s="15" t="n"/>
      <c r="AC54" s="14" t="n"/>
      <c r="AD54" s="15" t="n"/>
      <c r="AE54" s="10" t="inlineStr">
        <is>
          <t>2026-10-25</t>
        </is>
      </c>
    </row>
    <row r="55">
      <c r="A55" s="10" t="inlineStr">
        <is>
          <t>141NOV26</t>
        </is>
      </c>
      <c r="B55" s="10" t="inlineStr">
        <is>
          <t>GD-24-000653</t>
        </is>
      </c>
      <c r="C55" s="10" t="inlineStr">
        <is>
          <t>1209 Lincoln Hwy</t>
        </is>
      </c>
      <c r="D55" s="10" t="inlineStr">
        <is>
          <t>North Versailles</t>
        </is>
      </c>
      <c r="E55" s="10" t="inlineStr">
        <is>
          <t>15137</t>
        </is>
      </c>
      <c r="F55" s="10" t="inlineStr">
        <is>
          <t>North Versailles</t>
        </is>
      </c>
      <c r="G55" s="10" t="inlineStr">
        <is>
          <t>644-N-376</t>
        </is>
      </c>
      <c r="H55" s="10" t="inlineStr">
        <is>
          <t>0644-N-00376-0000-00</t>
        </is>
      </c>
      <c r="I55" s="10" t="inlineStr">
        <is>
          <t>Residential / unspecified</t>
        </is>
      </c>
      <c r="J55" s="10" t="inlineStr">
        <is>
          <t>Tax lien (Sci Fa sur tax lien)</t>
        </is>
      </c>
      <c r="K55" s="10" t="inlineStr">
        <is>
          <t>Individual</t>
        </is>
      </c>
      <c r="L55" s="10" t="inlineStr">
        <is>
          <t>Evanuik, James</t>
        </is>
      </c>
      <c r="M55" s="10" t="inlineStr">
        <is>
          <t>East Allegheny School District</t>
        </is>
      </c>
      <c r="N55" s="10" t="inlineStr">
        <is>
          <t>KRATZENBERG &amp; LAZZARO</t>
        </is>
      </c>
      <c r="O55" s="11" t="n">
        <v>70994.23</v>
      </c>
      <c r="P55" s="11" t="n"/>
      <c r="Q55" s="11" t="n">
        <v>70994.23</v>
      </c>
      <c r="R55" s="11" t="n"/>
      <c r="S55" s="10" t="inlineStr">
        <is>
          <t>✔ ✔ – ✔</t>
        </is>
      </c>
      <c r="T55" s="12" t="inlineStr">
        <is>
          <t>Sheriff OK box checked</t>
        </is>
      </c>
      <c r="U55" s="12" t="inlineStr"/>
      <c r="V55" s="12" t="inlineStr">
        <is>
          <t>OK TO SELL 11/2/26</t>
        </is>
      </c>
      <c r="W55" s="10" t="inlineStr">
        <is>
          <t>North Versailles Twp</t>
        </is>
      </c>
      <c r="X55" s="13">
        <f>IFERROR(VLOOKUP(W55,'Transfer Tax'!$A$14:$H$400,8,FALSE),"")</f>
        <v/>
      </c>
      <c r="Y55" s="14" t="n"/>
      <c r="Z55" s="11">
        <f>IF(OR(Y55="",X55=""),"",Y55*'Transfer Tax'!$B$6*X55)</f>
        <v/>
      </c>
      <c r="AA55" s="14" t="n"/>
      <c r="AB55" s="15" t="n"/>
      <c r="AC55" s="14" t="n"/>
      <c r="AD55" s="15" t="n"/>
      <c r="AE55" s="10" t="inlineStr">
        <is>
          <t>2026-10-25</t>
        </is>
      </c>
    </row>
    <row r="56">
      <c r="A56" s="10" t="inlineStr">
        <is>
          <t>59JUL26</t>
        </is>
      </c>
      <c r="B56" s="10" t="inlineStr">
        <is>
          <t>GD-25-008194</t>
        </is>
      </c>
      <c r="C56" s="10" t="inlineStr">
        <is>
          <t>516 Vincent Street</t>
        </is>
      </c>
      <c r="D56" s="10" t="inlineStr">
        <is>
          <t>North Versailles</t>
        </is>
      </c>
      <c r="E56" s="10" t="inlineStr">
        <is>
          <t>15137</t>
        </is>
      </c>
      <c r="F56" s="10" t="inlineStr">
        <is>
          <t>North Versailles</t>
        </is>
      </c>
      <c r="G56" s="10" t="inlineStr">
        <is>
          <t>456-L-234</t>
        </is>
      </c>
      <c r="H56" s="10" t="inlineStr">
        <is>
          <t>0456-L-00234-0000-00</t>
        </is>
      </c>
      <c r="I56" s="10" t="inlineStr">
        <is>
          <t>Residential / unspecified</t>
        </is>
      </c>
      <c r="J56" s="10" t="inlineStr">
        <is>
          <t>Tax lien (Sci Fa sur tax lien)</t>
        </is>
      </c>
      <c r="K56" s="10" t="inlineStr">
        <is>
          <t>Individual</t>
        </is>
      </c>
      <c r="L56" s="10" t="inlineStr">
        <is>
          <t>Zubasic, Jesse Scott</t>
        </is>
      </c>
      <c r="M56" s="10" t="inlineStr">
        <is>
          <t>COUNTY OF ALLEGHENY</t>
        </is>
      </c>
      <c r="N56" s="10" t="inlineStr">
        <is>
          <t>GOEHRING RUTTER &amp; BOEHM</t>
        </is>
      </c>
      <c r="O56" s="11" t="n">
        <v>17858.63</v>
      </c>
      <c r="P56" s="11" t="n">
        <v>7600</v>
      </c>
      <c r="Q56" s="11" t="n">
        <v>7600</v>
      </c>
      <c r="R56" s="11" t="n"/>
      <c r="S56" s="10" t="inlineStr">
        <is>
          <t>✔ ✔ ✔ ✔</t>
        </is>
      </c>
      <c r="T56" s="12" t="inlineStr">
        <is>
          <t>Sheriff OK box checked</t>
        </is>
      </c>
      <c r="U56" s="12" t="inlineStr">
        <is>
          <t>Free &amp; clear court order, min bid $7,600.00</t>
        </is>
      </c>
      <c r="V56" s="12" t="inlineStr">
        <is>
          <t>OK TO SELL 11-2-26
F/C O/C FOR A MIN BID OF $7,600.00</t>
        </is>
      </c>
      <c r="W56" s="10" t="inlineStr">
        <is>
          <t>North Versailles Twp</t>
        </is>
      </c>
      <c r="X56" s="13">
        <f>IFERROR(VLOOKUP(W56,'Transfer Tax'!$A$14:$H$400,8,FALSE),"")</f>
        <v/>
      </c>
      <c r="Y56" s="14" t="n"/>
      <c r="Z56" s="11">
        <f>IF(OR(Y56="",X56=""),"",Y56*'Transfer Tax'!$B$6*X56)</f>
        <v/>
      </c>
      <c r="AA56" s="14" t="n"/>
      <c r="AB56" s="15" t="n"/>
      <c r="AC56" s="14" t="n"/>
      <c r="AD56" s="15" t="n"/>
      <c r="AE56" s="10" t="inlineStr">
        <is>
          <t>2026-10-25</t>
        </is>
      </c>
    </row>
    <row r="57">
      <c r="A57" s="10" t="inlineStr">
        <is>
          <t>70OCT26</t>
        </is>
      </c>
      <c r="B57" s="10" t="inlineStr">
        <is>
          <t>GD-25-008114</t>
        </is>
      </c>
      <c r="C57" s="10" t="inlineStr">
        <is>
          <t>520 Westinghouse Avenue</t>
        </is>
      </c>
      <c r="D57" s="10" t="inlineStr">
        <is>
          <t>North Versailles</t>
        </is>
      </c>
      <c r="E57" s="10" t="inlineStr">
        <is>
          <t>15137</t>
        </is>
      </c>
      <c r="F57" s="10" t="inlineStr">
        <is>
          <t>North Versailles</t>
        </is>
      </c>
      <c r="G57" s="10" t="inlineStr">
        <is>
          <t>459-F-225</t>
        </is>
      </c>
      <c r="H57" s="10" t="inlineStr">
        <is>
          <t>0459-F-00225-0000-00</t>
        </is>
      </c>
      <c r="I57" s="10" t="inlineStr">
        <is>
          <t>Residential / unspecified</t>
        </is>
      </c>
      <c r="J57" s="10" t="inlineStr">
        <is>
          <t>Tax lien (Sci Fa sur tax lien)</t>
        </is>
      </c>
      <c r="K57" s="10" t="inlineStr">
        <is>
          <t>Individual</t>
        </is>
      </c>
      <c r="L57" s="10" t="inlineStr">
        <is>
          <t>Parkinson, Miguel R.</t>
        </is>
      </c>
      <c r="M57" s="10" t="inlineStr">
        <is>
          <t>County of Allegheny</t>
        </is>
      </c>
      <c r="N57" s="10" t="inlineStr">
        <is>
          <t>GOEHRING RUTTER &amp; BOEHM</t>
        </is>
      </c>
      <c r="O57" s="11" t="n">
        <v>9195.110000000001</v>
      </c>
      <c r="P57" s="11" t="n"/>
      <c r="Q57" s="11" t="n">
        <v>9195.110000000001</v>
      </c>
      <c r="R57" s="11" t="n"/>
      <c r="S57" s="10" t="inlineStr">
        <is>
          <t>✔ ✔ ✔ ✔</t>
        </is>
      </c>
      <c r="T57" s="12" t="inlineStr">
        <is>
          <t>Sheriff OK box checked</t>
        </is>
      </c>
      <c r="U57" s="12" t="inlineStr"/>
      <c r="V57" s="12" t="inlineStr">
        <is>
          <t>OK TO SELL 11/2/26</t>
        </is>
      </c>
      <c r="W57" s="10" t="inlineStr">
        <is>
          <t>North Versailles Twp</t>
        </is>
      </c>
      <c r="X57" s="13">
        <f>IFERROR(VLOOKUP(W57,'Transfer Tax'!$A$14:$H$400,8,FALSE),"")</f>
        <v/>
      </c>
      <c r="Y57" s="14" t="n"/>
      <c r="Z57" s="11">
        <f>IF(OR(Y57="",X57=""),"",Y57*'Transfer Tax'!$B$6*X57)</f>
        <v/>
      </c>
      <c r="AA57" s="14" t="n"/>
      <c r="AB57" s="15" t="n"/>
      <c r="AC57" s="14" t="n"/>
      <c r="AD57" s="15" t="n"/>
      <c r="AE57" s="10" t="inlineStr">
        <is>
          <t>2026-10-25</t>
        </is>
      </c>
    </row>
    <row r="58">
      <c r="A58" s="10" t="inlineStr">
        <is>
          <t>40OCT26</t>
        </is>
      </c>
      <c r="B58" s="10" t="inlineStr">
        <is>
          <t>MG-25-000986</t>
        </is>
      </c>
      <c r="C58" s="10" t="inlineStr">
        <is>
          <t>1002 Powers Run Rd</t>
        </is>
      </c>
      <c r="D58" s="10" t="inlineStr">
        <is>
          <t>Pittsburgh</t>
        </is>
      </c>
      <c r="E58" s="10" t="inlineStr">
        <is>
          <t>15238</t>
        </is>
      </c>
      <c r="F58" s="10" t="inlineStr">
        <is>
          <t>O'Hara</t>
        </is>
      </c>
      <c r="G58" s="10" t="inlineStr">
        <is>
          <t>291-C-66</t>
        </is>
      </c>
      <c r="H58" s="10" t="inlineStr">
        <is>
          <t>0291-C-00066-0000-00</t>
        </is>
      </c>
      <c r="I58" s="10" t="inlineStr">
        <is>
          <t>Residential / unspecified</t>
        </is>
      </c>
      <c r="J58" s="10" t="inlineStr">
        <is>
          <t>Mortgage foreclosure</t>
        </is>
      </c>
      <c r="K58" s="10" t="inlineStr">
        <is>
          <t>Individual</t>
        </is>
      </c>
      <c r="L58" s="10" t="inlineStr">
        <is>
          <t>Stephens, Kathleen Louise</t>
        </is>
      </c>
      <c r="M58" s="10" t="inlineStr">
        <is>
          <t>U.S. Bank National Association</t>
        </is>
      </c>
      <c r="N58" s="10" t="inlineStr">
        <is>
          <t>HLADIK ONORATO AND FEDERMAN LLP</t>
        </is>
      </c>
      <c r="O58" s="11" t="n">
        <v>2306.37</v>
      </c>
      <c r="P58" s="11" t="n"/>
      <c r="Q58" s="11" t="n">
        <v>2306.37</v>
      </c>
      <c r="R58" s="11" t="n">
        <v>75763.34</v>
      </c>
      <c r="S58" s="10" t="inlineStr">
        <is>
          <t>✔ ✔ ✔ ✔</t>
        </is>
      </c>
      <c r="T58" s="12" t="inlineStr">
        <is>
          <t>Sheriff OK box checked</t>
        </is>
      </c>
      <c r="U58" s="12" t="inlineStr"/>
      <c r="V58" s="12" t="inlineStr">
        <is>
          <t>OK TO SELL 11-2-26
RCVD O/C TO REASSESS DAMAGES TO $75,763.34</t>
        </is>
      </c>
      <c r="W58" s="10" t="inlineStr">
        <is>
          <t>O'Hara Twp</t>
        </is>
      </c>
      <c r="X58" s="13">
        <f>IFERROR(VLOOKUP(W58,'Transfer Tax'!$A$14:$H$400,8,FALSE),"")</f>
        <v/>
      </c>
      <c r="Y58" s="14" t="n"/>
      <c r="Z58" s="11">
        <f>IF(OR(Y58="",X58=""),"",Y58*'Transfer Tax'!$B$6*X58)</f>
        <v/>
      </c>
      <c r="AA58" s="14" t="n"/>
      <c r="AB58" s="15" t="n"/>
      <c r="AC58" s="14" t="n"/>
      <c r="AD58" s="15" t="n"/>
      <c r="AE58" s="10" t="inlineStr">
        <is>
          <t>2026-10-25</t>
        </is>
      </c>
    </row>
    <row r="59">
      <c r="A59" s="10" t="inlineStr">
        <is>
          <t>123NOV26</t>
        </is>
      </c>
      <c r="B59" s="10" t="inlineStr">
        <is>
          <t>GD-25-007439</t>
        </is>
      </c>
      <c r="C59" s="10" t="inlineStr">
        <is>
          <t>147 Oakhurst Road</t>
        </is>
      </c>
      <c r="D59" s="10" t="inlineStr">
        <is>
          <t>Pittsburgh</t>
        </is>
      </c>
      <c r="E59" s="10" t="inlineStr">
        <is>
          <t>15215</t>
        </is>
      </c>
      <c r="F59" s="10" t="inlineStr">
        <is>
          <t>O'Hara</t>
        </is>
      </c>
      <c r="G59" s="10" t="inlineStr">
        <is>
          <t>224-E-44</t>
        </is>
      </c>
      <c r="H59" s="10" t="inlineStr">
        <is>
          <t>0224-E-00044-0000-00</t>
        </is>
      </c>
      <c r="I59" s="10" t="inlineStr">
        <is>
          <t>Residential / unspecified</t>
        </is>
      </c>
      <c r="J59" s="10" t="inlineStr">
        <is>
          <t>Tax lien (Sci Fa sur tax lien)</t>
        </is>
      </c>
      <c r="K59" s="10" t="inlineStr">
        <is>
          <t>Individual</t>
        </is>
      </c>
      <c r="L59" s="10" t="inlineStr">
        <is>
          <t>Depasquale, Severino C</t>
        </is>
      </c>
      <c r="M59" s="10" t="inlineStr">
        <is>
          <t>O'Hara Township</t>
        </is>
      </c>
      <c r="N59" s="10" t="inlineStr">
        <is>
          <t>GOEHRING RUTTER &amp; BOEHM</t>
        </is>
      </c>
      <c r="O59" s="11" t="n">
        <v>21840.24</v>
      </c>
      <c r="P59" s="11" t="n"/>
      <c r="Q59" s="11" t="n">
        <v>21840.24</v>
      </c>
      <c r="R59" s="11" t="n"/>
      <c r="S59" s="10" t="inlineStr">
        <is>
          <t>✔ ✔ – ✔</t>
        </is>
      </c>
      <c r="T59" s="12" t="inlineStr">
        <is>
          <t>Sheriff OK box checked</t>
        </is>
      </c>
      <c r="U59" s="12" t="inlineStr"/>
      <c r="V59" s="12" t="inlineStr">
        <is>
          <t>OK TO SELL 11/2/26</t>
        </is>
      </c>
      <c r="W59" s="10" t="inlineStr">
        <is>
          <t>O'Hara Twp</t>
        </is>
      </c>
      <c r="X59" s="13">
        <f>IFERROR(VLOOKUP(W59,'Transfer Tax'!$A$14:$H$400,8,FALSE),"")</f>
        <v/>
      </c>
      <c r="Y59" s="14" t="n"/>
      <c r="Z59" s="11">
        <f>IF(OR(Y59="",X59=""),"",Y59*'Transfer Tax'!$B$6*X59)</f>
        <v/>
      </c>
      <c r="AA59" s="14" t="n"/>
      <c r="AB59" s="15" t="n"/>
      <c r="AC59" s="14" t="n"/>
      <c r="AD59" s="15" t="n"/>
      <c r="AE59" s="10" t="inlineStr">
        <is>
          <t>2026-10-25</t>
        </is>
      </c>
    </row>
    <row r="60">
      <c r="A60" s="10" t="inlineStr">
        <is>
          <t>103SEP26</t>
        </is>
      </c>
      <c r="B60" s="10" t="inlineStr">
        <is>
          <t>GD-25-007653</t>
        </is>
      </c>
      <c r="C60" s="10" t="inlineStr">
        <is>
          <t>400 Woodland Ave</t>
        </is>
      </c>
      <c r="D60" s="10" t="inlineStr">
        <is>
          <t>Oakmont</t>
        </is>
      </c>
      <c r="E60" s="10" t="inlineStr">
        <is>
          <t>15139</t>
        </is>
      </c>
      <c r="F60" s="10" t="inlineStr">
        <is>
          <t>Oakmont</t>
        </is>
      </c>
      <c r="G60" s="10" t="inlineStr">
        <is>
          <t>362-G-151</t>
        </is>
      </c>
      <c r="H60" s="10" t="inlineStr">
        <is>
          <t>0362-G-00151-0000-00</t>
        </is>
      </c>
      <c r="I60" s="10" t="inlineStr">
        <is>
          <t>Residential / unspecified</t>
        </is>
      </c>
      <c r="J60" s="10" t="inlineStr">
        <is>
          <t>Tax lien (Sci Fa sur tax lien)</t>
        </is>
      </c>
      <c r="K60" s="10" t="inlineStr">
        <is>
          <t>Entity (LLC/LP/Inc)</t>
        </is>
      </c>
      <c r="L60" s="10" t="inlineStr">
        <is>
          <t>Scottsdale Rei LLC</t>
        </is>
      </c>
      <c r="M60" s="10" t="inlineStr">
        <is>
          <t>Riverview School District</t>
        </is>
      </c>
      <c r="N60" s="10" t="inlineStr">
        <is>
          <t>MAIELLO BRUNGO &amp; MAIELLO</t>
        </is>
      </c>
      <c r="O60" s="11" t="n">
        <v>40576.6</v>
      </c>
      <c r="P60" s="11" t="n"/>
      <c r="Q60" s="11" t="n">
        <v>40576.6</v>
      </c>
      <c r="R60" s="11" t="n"/>
      <c r="S60" s="10" t="inlineStr">
        <is>
          <t>✔ ✔ ✔ ✔</t>
        </is>
      </c>
      <c r="T60" s="12" t="inlineStr">
        <is>
          <t>Sheriff OK box checked</t>
        </is>
      </c>
      <c r="U60" s="12" t="inlineStr">
        <is>
          <t>Prior winning bidder forfeited (property re-offered)</t>
        </is>
      </c>
      <c r="V60" s="12" t="inlineStr">
        <is>
          <t>OK TO SELL 11-2-26
FORFEITED 11-2-26</t>
        </is>
      </c>
      <c r="W60" s="10" t="inlineStr">
        <is>
          <t>Oakmont Boro</t>
        </is>
      </c>
      <c r="X60" s="13">
        <f>IFERROR(VLOOKUP(W60,'Transfer Tax'!$A$14:$H$400,8,FALSE),"")</f>
        <v/>
      </c>
      <c r="Y60" s="14" t="n"/>
      <c r="Z60" s="11">
        <f>IF(OR(Y60="",X60=""),"",Y60*'Transfer Tax'!$B$6*X60)</f>
        <v/>
      </c>
      <c r="AA60" s="14" t="n"/>
      <c r="AB60" s="15" t="n"/>
      <c r="AC60" s="14" t="n"/>
      <c r="AD60" s="15" t="n"/>
      <c r="AE60" s="10" t="inlineStr">
        <is>
          <t>2026-10-25</t>
        </is>
      </c>
    </row>
    <row r="61">
      <c r="A61" s="10" t="inlineStr">
        <is>
          <t>84AUG26</t>
        </is>
      </c>
      <c r="B61" s="10" t="inlineStr">
        <is>
          <t>GD-23-011285</t>
        </is>
      </c>
      <c r="C61" s="10" t="inlineStr">
        <is>
          <t>800 Valley St</t>
        </is>
      </c>
      <c r="D61" s="10" t="inlineStr">
        <is>
          <t>Oakmont</t>
        </is>
      </c>
      <c r="E61" s="10" t="inlineStr">
        <is>
          <t>15139</t>
        </is>
      </c>
      <c r="F61" s="10" t="inlineStr">
        <is>
          <t>Oakmont</t>
        </is>
      </c>
      <c r="G61" s="10" t="inlineStr">
        <is>
          <t>363-S-253</t>
        </is>
      </c>
      <c r="H61" s="10" t="inlineStr">
        <is>
          <t>0363-S-00253-0000-00</t>
        </is>
      </c>
      <c r="I61" s="10" t="inlineStr">
        <is>
          <t>Residential / unspecified</t>
        </is>
      </c>
      <c r="J61" s="10" t="inlineStr">
        <is>
          <t>Tax lien (Sci Fa sur tax lien)</t>
        </is>
      </c>
      <c r="K61" s="10" t="inlineStr">
        <is>
          <t>Entity (LLC/LP/Inc)</t>
        </is>
      </c>
      <c r="L61" s="10" t="inlineStr">
        <is>
          <t>HP Property Pro LLC</t>
        </is>
      </c>
      <c r="M61" s="10" t="inlineStr">
        <is>
          <t>Riverview School District</t>
        </is>
      </c>
      <c r="N61" s="10" t="inlineStr">
        <is>
          <t>MAIELLO BRUNGO &amp; MAIELLO</t>
        </is>
      </c>
      <c r="O61" s="11" t="n">
        <v>34708.2</v>
      </c>
      <c r="P61" s="11" t="n"/>
      <c r="Q61" s="11" t="n">
        <v>34708.2</v>
      </c>
      <c r="R61" s="11" t="n"/>
      <c r="S61" s="10" t="inlineStr">
        <is>
          <t>✔ ✔ ✔ ✔</t>
        </is>
      </c>
      <c r="T61" s="12" t="inlineStr">
        <is>
          <t>Sheriff OK box checked</t>
        </is>
      </c>
      <c r="U61" s="12" t="inlineStr"/>
      <c r="V61" s="12" t="inlineStr">
        <is>
          <t>OK TO SELL 11-2-26</t>
        </is>
      </c>
      <c r="W61" s="10" t="inlineStr">
        <is>
          <t>Oakmont Boro</t>
        </is>
      </c>
      <c r="X61" s="13">
        <f>IFERROR(VLOOKUP(W61,'Transfer Tax'!$A$14:$H$400,8,FALSE),"")</f>
        <v/>
      </c>
      <c r="Y61" s="14" t="n"/>
      <c r="Z61" s="11">
        <f>IF(OR(Y61="",X61=""),"",Y61*'Transfer Tax'!$B$6*X61)</f>
        <v/>
      </c>
      <c r="AA61" s="14" t="n"/>
      <c r="AB61" s="15" t="n"/>
      <c r="AC61" s="14" t="n"/>
      <c r="AD61" s="15" t="n"/>
      <c r="AE61" s="10" t="inlineStr">
        <is>
          <t>2026-10-25</t>
        </is>
      </c>
    </row>
    <row r="62">
      <c r="A62" s="10" t="inlineStr">
        <is>
          <t>60NOV26</t>
        </is>
      </c>
      <c r="B62" s="10" t="inlineStr">
        <is>
          <t>MG-25-000322</t>
        </is>
      </c>
      <c r="C62" s="10" t="inlineStr">
        <is>
          <t>219 Richland Drive</t>
        </is>
      </c>
      <c r="D62" s="10" t="inlineStr">
        <is>
          <t>Pittsburgh</t>
        </is>
      </c>
      <c r="E62" s="10" t="inlineStr">
        <is>
          <t>15235</t>
        </is>
      </c>
      <c r="F62" s="10" t="inlineStr">
        <is>
          <t>Penn Hills</t>
        </is>
      </c>
      <c r="G62" s="10" t="inlineStr">
        <is>
          <t>370-H-24</t>
        </is>
      </c>
      <c r="H62" s="10" t="inlineStr">
        <is>
          <t>0370-H-00024-0000-00</t>
        </is>
      </c>
      <c r="I62" s="10" t="inlineStr">
        <is>
          <t>Residential / unspecified</t>
        </is>
      </c>
      <c r="J62" s="10" t="inlineStr">
        <is>
          <t>Mortgage foreclosure</t>
        </is>
      </c>
      <c r="K62" s="10" t="inlineStr">
        <is>
          <t>Individual</t>
        </is>
      </c>
      <c r="L62" s="10" t="inlineStr">
        <is>
          <t>THORN III, William F.</t>
        </is>
      </c>
      <c r="M62" s="10" t="inlineStr">
        <is>
          <t>PennyMac Loan Services LLC</t>
        </is>
      </c>
      <c r="N62" s="10" t="inlineStr">
        <is>
          <t>POWERS KIRN LLC</t>
        </is>
      </c>
      <c r="O62" s="11" t="n">
        <v>1684.28</v>
      </c>
      <c r="P62" s="11" t="n"/>
      <c r="Q62" s="11" t="n">
        <v>1684.28</v>
      </c>
      <c r="R62" s="11" t="n"/>
      <c r="S62" s="10" t="inlineStr">
        <is>
          <t>✔ ✔ – ✔</t>
        </is>
      </c>
      <c r="T62" s="12" t="inlineStr">
        <is>
          <t>Sheriff OK box checked</t>
        </is>
      </c>
      <c r="U62" s="12" t="inlineStr"/>
      <c r="V62" s="12" t="inlineStr">
        <is>
          <t>OK TO SELL 11/2/26</t>
        </is>
      </c>
      <c r="W62" s="10" t="inlineStr">
        <is>
          <t>Penn Hills Municipality</t>
        </is>
      </c>
      <c r="X62" s="13">
        <f>IFERROR(VLOOKUP(W62,'Transfer Tax'!$A$14:$H$400,8,FALSE),"")</f>
        <v/>
      </c>
      <c r="Y62" s="14" t="n"/>
      <c r="Z62" s="11">
        <f>IF(OR(Y62="",X62=""),"",Y62*'Transfer Tax'!$B$6*X62)</f>
        <v/>
      </c>
      <c r="AA62" s="14" t="n"/>
      <c r="AB62" s="15" t="n"/>
      <c r="AC62" s="14" t="n"/>
      <c r="AD62" s="15" t="n"/>
      <c r="AE62" s="10" t="inlineStr">
        <is>
          <t>2026-10-25</t>
        </is>
      </c>
    </row>
    <row r="63">
      <c r="A63" s="10" t="inlineStr">
        <is>
          <t>12JUN26</t>
        </is>
      </c>
      <c r="B63" s="10" t="inlineStr">
        <is>
          <t>GD-25-004752</t>
        </is>
      </c>
      <c r="C63" s="10" t="inlineStr">
        <is>
          <t>255 Almar Dr</t>
        </is>
      </c>
      <c r="D63" s="10" t="inlineStr">
        <is>
          <t>Verona</t>
        </is>
      </c>
      <c r="E63" s="10" t="inlineStr">
        <is>
          <t>15147</t>
        </is>
      </c>
      <c r="F63" s="10" t="inlineStr">
        <is>
          <t>Penn Hills</t>
        </is>
      </c>
      <c r="G63" s="10" t="inlineStr">
        <is>
          <t>447-P-207</t>
        </is>
      </c>
      <c r="H63" s="10" t="inlineStr">
        <is>
          <t>0447-P-00207-0000-00</t>
        </is>
      </c>
      <c r="I63" s="10" t="inlineStr">
        <is>
          <t>Residential / unspecified</t>
        </is>
      </c>
      <c r="J63" s="10" t="inlineStr">
        <is>
          <t>Mortgage foreclosure</t>
        </is>
      </c>
      <c r="K63" s="10" t="inlineStr">
        <is>
          <t>Individual</t>
        </is>
      </c>
      <c r="L63" s="10" t="inlineStr">
        <is>
          <t>HALPIN III, Charles A.J.</t>
        </is>
      </c>
      <c r="M63" s="10" t="inlineStr">
        <is>
          <t>Select Portfolio Servicing Inc.</t>
        </is>
      </c>
      <c r="N63" s="10" t="inlineStr">
        <is>
          <t>GREGORY JAVARDIAN ESQ</t>
        </is>
      </c>
      <c r="O63" s="11" t="n">
        <v>4211.85</v>
      </c>
      <c r="P63" s="11" t="n"/>
      <c r="Q63" s="11" t="n">
        <v>4211.85</v>
      </c>
      <c r="R63" s="11" t="n"/>
      <c r="S63" s="10" t="inlineStr">
        <is>
          <t>✔ ✔ ✔ ✔</t>
        </is>
      </c>
      <c r="T63" s="12" t="inlineStr">
        <is>
          <t>Sheriff OK box checked</t>
        </is>
      </c>
      <c r="U63" s="12" t="inlineStr"/>
      <c r="V63" s="12" t="inlineStr">
        <is>
          <t>OK TO SELL 11-2-26</t>
        </is>
      </c>
      <c r="W63" s="10" t="inlineStr">
        <is>
          <t>Penn Hills Municipality</t>
        </is>
      </c>
      <c r="X63" s="13">
        <f>IFERROR(VLOOKUP(W63,'Transfer Tax'!$A$14:$H$400,8,FALSE),"")</f>
        <v/>
      </c>
      <c r="Y63" s="14" t="n"/>
      <c r="Z63" s="11">
        <f>IF(OR(Y63="",X63=""),"",Y63*'Transfer Tax'!$B$6*X63)</f>
        <v/>
      </c>
      <c r="AA63" s="14" t="n"/>
      <c r="AB63" s="15" t="n"/>
      <c r="AC63" s="14" t="n"/>
      <c r="AD63" s="15" t="n"/>
      <c r="AE63" s="10" t="inlineStr">
        <is>
          <t>2026-10-25</t>
        </is>
      </c>
    </row>
    <row r="64">
      <c r="A64" s="10" t="inlineStr">
        <is>
          <t>53OCT26</t>
        </is>
      </c>
      <c r="B64" s="10" t="inlineStr">
        <is>
          <t>GD-24-008177</t>
        </is>
      </c>
      <c r="C64" s="10" t="inlineStr">
        <is>
          <t>52 Everett Road</t>
        </is>
      </c>
      <c r="D64" s="10" t="inlineStr">
        <is>
          <t>Pittsburgh</t>
        </is>
      </c>
      <c r="E64" s="10" t="inlineStr">
        <is>
          <t>15235</t>
        </is>
      </c>
      <c r="F64" s="10" t="inlineStr">
        <is>
          <t>Penn Hills</t>
        </is>
      </c>
      <c r="G64" s="10" t="inlineStr">
        <is>
          <t>173-S-47</t>
        </is>
      </c>
      <c r="H64" s="10" t="inlineStr">
        <is>
          <t>0173-S-00047-0000-00</t>
        </is>
      </c>
      <c r="I64" s="10" t="inlineStr">
        <is>
          <t>Residential / unspecified</t>
        </is>
      </c>
      <c r="J64" s="10" t="inlineStr">
        <is>
          <t>Tax lien (Sci Fa sur tax lien)</t>
        </is>
      </c>
      <c r="K64" s="10" t="inlineStr">
        <is>
          <t>Individual</t>
        </is>
      </c>
      <c r="L64" s="10" t="inlineStr">
        <is>
          <t>Beasley, Karen P.</t>
        </is>
      </c>
      <c r="M64" s="10" t="inlineStr">
        <is>
          <t>County of Allegheny</t>
        </is>
      </c>
      <c r="N64" s="10" t="inlineStr">
        <is>
          <t>GOEHRING RUTTER &amp; BOEHM</t>
        </is>
      </c>
      <c r="O64" s="11" t="n">
        <v>19540.69</v>
      </c>
      <c r="P64" s="11" t="n"/>
      <c r="Q64" s="11" t="n">
        <v>19540.69</v>
      </c>
      <c r="R64" s="11" t="n"/>
      <c r="S64" s="10" t="inlineStr">
        <is>
          <t>✔ ✔ ✔ ✔</t>
        </is>
      </c>
      <c r="T64" s="12" t="inlineStr">
        <is>
          <t>Sheriff OK box checked</t>
        </is>
      </c>
      <c r="U64" s="12" t="inlineStr"/>
      <c r="V64" s="12" t="inlineStr">
        <is>
          <t>OK TO SELL 11/2/26</t>
        </is>
      </c>
      <c r="W64" s="10" t="inlineStr">
        <is>
          <t>Penn Hills Municipality</t>
        </is>
      </c>
      <c r="X64" s="13">
        <f>IFERROR(VLOOKUP(W64,'Transfer Tax'!$A$14:$H$400,8,FALSE),"")</f>
        <v/>
      </c>
      <c r="Y64" s="14" t="n"/>
      <c r="Z64" s="11">
        <f>IF(OR(Y64="",X64=""),"",Y64*'Transfer Tax'!$B$6*X64)</f>
        <v/>
      </c>
      <c r="AA64" s="14" t="n"/>
      <c r="AB64" s="15" t="n"/>
      <c r="AC64" s="14" t="n"/>
      <c r="AD64" s="15" t="n"/>
      <c r="AE64" s="10" t="inlineStr">
        <is>
          <t>2026-10-25</t>
        </is>
      </c>
    </row>
    <row r="65">
      <c r="A65" s="10" t="inlineStr">
        <is>
          <t>18AUG26</t>
        </is>
      </c>
      <c r="B65" s="10" t="inlineStr">
        <is>
          <t>GD-23-012860</t>
        </is>
      </c>
      <c r="C65" s="10" t="inlineStr">
        <is>
          <t>631 National Dr</t>
        </is>
      </c>
      <c r="D65" s="10" t="inlineStr">
        <is>
          <t>Pittsburgh</t>
        </is>
      </c>
      <c r="E65" s="10" t="inlineStr">
        <is>
          <t>15235</t>
        </is>
      </c>
      <c r="F65" s="10" t="inlineStr">
        <is>
          <t>Penn Hills</t>
        </is>
      </c>
      <c r="G65" s="10" t="inlineStr">
        <is>
          <t>537-E-249</t>
        </is>
      </c>
      <c r="H65" s="10" t="inlineStr">
        <is>
          <t>0537-E-00249-0000-00</t>
        </is>
      </c>
      <c r="I65" s="10" t="inlineStr">
        <is>
          <t>Residential / unspecified</t>
        </is>
      </c>
      <c r="J65" s="10" t="inlineStr">
        <is>
          <t>Tax lien (Sci Fa sur tax lien)</t>
        </is>
      </c>
      <c r="K65" s="10" t="inlineStr">
        <is>
          <t>Individual</t>
        </is>
      </c>
      <c r="L65" s="10" t="inlineStr">
        <is>
          <t>Bentley, Anthony</t>
        </is>
      </c>
      <c r="M65" s="10" t="inlineStr">
        <is>
          <t>Penn Hills School District</t>
        </is>
      </c>
      <c r="N65" s="10" t="inlineStr">
        <is>
          <t>MAIELLO BRUNGO &amp; MAIELLO</t>
        </is>
      </c>
      <c r="O65" s="11" t="n">
        <v>36873.68</v>
      </c>
      <c r="P65" s="11" t="n"/>
      <c r="Q65" s="11" t="n">
        <v>36873.68</v>
      </c>
      <c r="R65" s="11" t="n"/>
      <c r="S65" s="10" t="inlineStr">
        <is>
          <t>✔ ✔ ✔ ✔</t>
        </is>
      </c>
      <c r="T65" s="12" t="inlineStr">
        <is>
          <t>Sheriff OK box checked</t>
        </is>
      </c>
      <c r="U65" s="12" t="inlineStr"/>
      <c r="V65" s="12" t="inlineStr">
        <is>
          <t>OK TO SELL 11-2-26</t>
        </is>
      </c>
      <c r="W65" s="10" t="inlineStr">
        <is>
          <t>Penn Hills Municipality</t>
        </is>
      </c>
      <c r="X65" s="13">
        <f>IFERROR(VLOOKUP(W65,'Transfer Tax'!$A$14:$H$400,8,FALSE),"")</f>
        <v/>
      </c>
      <c r="Y65" s="14" t="n"/>
      <c r="Z65" s="11">
        <f>IF(OR(Y65="",X65=""),"",Y65*'Transfer Tax'!$B$6*X65)</f>
        <v/>
      </c>
      <c r="AA65" s="14" t="n"/>
      <c r="AB65" s="15" t="n"/>
      <c r="AC65" s="14" t="n"/>
      <c r="AD65" s="15" t="n"/>
      <c r="AE65" s="10" t="inlineStr">
        <is>
          <t>2026-10-25</t>
        </is>
      </c>
    </row>
    <row r="66">
      <c r="A66" s="10" t="inlineStr">
        <is>
          <t>80NOV26</t>
        </is>
      </c>
      <c r="B66" s="10" t="inlineStr">
        <is>
          <t>GD-25-011270</t>
        </is>
      </c>
      <c r="C66" s="10" t="inlineStr">
        <is>
          <t>944 6th Street</t>
        </is>
      </c>
      <c r="D66" s="10" t="inlineStr">
        <is>
          <t>Verona</t>
        </is>
      </c>
      <c r="E66" s="10" t="inlineStr">
        <is>
          <t>15147</t>
        </is>
      </c>
      <c r="F66" s="10" t="inlineStr">
        <is>
          <t>Penn Hills</t>
        </is>
      </c>
      <c r="G66" s="10" t="inlineStr">
        <is>
          <t>445-A-266</t>
        </is>
      </c>
      <c r="H66" s="10" t="inlineStr">
        <is>
          <t>0445-A-00266-0000-00</t>
        </is>
      </c>
      <c r="I66" s="10" t="inlineStr">
        <is>
          <t>Residential / unspecified</t>
        </is>
      </c>
      <c r="J66" s="10" t="inlineStr">
        <is>
          <t>Mortgage foreclosure</t>
        </is>
      </c>
      <c r="K66" s="10" t="inlineStr">
        <is>
          <t>Individual</t>
        </is>
      </c>
      <c r="L66" s="10" t="inlineStr">
        <is>
          <t>Christian, Dolores</t>
        </is>
      </c>
      <c r="M66" s="10" t="inlineStr">
        <is>
          <t>Carrington Mortgage Services LLC</t>
        </is>
      </c>
      <c r="N66" s="10" t="inlineStr">
        <is>
          <t>GREGORY JAVARDIAN ESQ</t>
        </is>
      </c>
      <c r="O66" s="11" t="n">
        <v>1889.3</v>
      </c>
      <c r="P66" s="11" t="n"/>
      <c r="Q66" s="11" t="n">
        <v>1889.3</v>
      </c>
      <c r="R66" s="11" t="n"/>
      <c r="S66" s="10" t="inlineStr">
        <is>
          <t>✔ ✔ – ✔</t>
        </is>
      </c>
      <c r="T66" s="12" t="inlineStr">
        <is>
          <t>Sheriff OK box checked</t>
        </is>
      </c>
      <c r="U66" s="12" t="inlineStr"/>
      <c r="V66" s="12" t="inlineStr">
        <is>
          <t>OK TO SELL 11/2/26</t>
        </is>
      </c>
      <c r="W66" s="10" t="inlineStr">
        <is>
          <t>Penn Hills Municipality</t>
        </is>
      </c>
      <c r="X66" s="13">
        <f>IFERROR(VLOOKUP(W66,'Transfer Tax'!$A$14:$H$400,8,FALSE),"")</f>
        <v/>
      </c>
      <c r="Y66" s="14" t="n"/>
      <c r="Z66" s="11">
        <f>IF(OR(Y66="",X66=""),"",Y66*'Transfer Tax'!$B$6*X66)</f>
        <v/>
      </c>
      <c r="AA66" s="14" t="n"/>
      <c r="AB66" s="15" t="n"/>
      <c r="AC66" s="14" t="n"/>
      <c r="AD66" s="15" t="n"/>
      <c r="AE66" s="10" t="inlineStr">
        <is>
          <t>2026-10-25</t>
        </is>
      </c>
    </row>
    <row r="67">
      <c r="A67" s="10" t="inlineStr">
        <is>
          <t>140NOV26</t>
        </is>
      </c>
      <c r="B67" s="10" t="inlineStr">
        <is>
          <t>GD-26-005350</t>
        </is>
      </c>
      <c r="C67" s="10" t="inlineStr">
        <is>
          <t>932 Park Place</t>
        </is>
      </c>
      <c r="D67" s="10" t="inlineStr">
        <is>
          <t>Wexford</t>
        </is>
      </c>
      <c r="E67" s="10" t="inlineStr">
        <is>
          <t>15090</t>
        </is>
      </c>
      <c r="F67" s="10" t="inlineStr">
        <is>
          <t>Pine</t>
        </is>
      </c>
      <c r="G67" s="10" t="inlineStr">
        <is>
          <t>1658-H-46</t>
        </is>
      </c>
      <c r="H67" s="10" t="inlineStr">
        <is>
          <t>1658-H-00046-0000-00</t>
        </is>
      </c>
      <c r="I67" s="10" t="inlineStr">
        <is>
          <t>Residential / unspecified</t>
        </is>
      </c>
      <c r="J67" s="10" t="inlineStr">
        <is>
          <t>Mortgage foreclosure</t>
        </is>
      </c>
      <c r="K67" s="10" t="inlineStr">
        <is>
          <t>Individual</t>
        </is>
      </c>
      <c r="L67" s="10" t="inlineStr">
        <is>
          <t>Unger, Ruth Ann</t>
        </is>
      </c>
      <c r="M67" s="10" t="inlineStr">
        <is>
          <t>Wilmington Savings Fund Society FSB</t>
        </is>
      </c>
      <c r="N67" s="10" t="inlineStr">
        <is>
          <t>HILL WALLACK LLP</t>
        </is>
      </c>
      <c r="O67" s="11" t="n">
        <v>1914.47</v>
      </c>
      <c r="P67" s="11" t="n"/>
      <c r="Q67" s="11" t="n">
        <v>1914.47</v>
      </c>
      <c r="R67" s="11" t="n">
        <v>175104.21</v>
      </c>
      <c r="S67" s="10" t="inlineStr">
        <is>
          <t>✔ ✔ – ✔</t>
        </is>
      </c>
      <c r="T67" s="12" t="inlineStr">
        <is>
          <t>Sheriff OK box checked</t>
        </is>
      </c>
      <c r="U67" s="12" t="inlineStr"/>
      <c r="V67" s="12" t="inlineStr">
        <is>
          <t>OK TO SELL 11/2/26
RCVD O/C TO REASSESS DAMAGES TO $175,104.21</t>
        </is>
      </c>
      <c r="W67" s="10" t="inlineStr">
        <is>
          <t>Pine Twp</t>
        </is>
      </c>
      <c r="X67" s="13">
        <f>IFERROR(VLOOKUP(W67,'Transfer Tax'!$A$14:$H$400,8,FALSE),"")</f>
        <v/>
      </c>
      <c r="Y67" s="14" t="n"/>
      <c r="Z67" s="11">
        <f>IF(OR(Y67="",X67=""),"",Y67*'Transfer Tax'!$B$6*X67)</f>
        <v/>
      </c>
      <c r="AA67" s="14" t="n"/>
      <c r="AB67" s="15" t="n"/>
      <c r="AC67" s="14" t="n"/>
      <c r="AD67" s="15" t="n"/>
      <c r="AE67" s="10" t="inlineStr">
        <is>
          <t>2026-10-25</t>
        </is>
      </c>
    </row>
    <row r="68">
      <c r="A68" s="10" t="inlineStr">
        <is>
          <t>109NOV26</t>
        </is>
      </c>
      <c r="B68" s="10" t="inlineStr">
        <is>
          <t>GD-25-004329</t>
        </is>
      </c>
      <c r="C68" s="10" t="inlineStr">
        <is>
          <t>115 Brinton Ave</t>
        </is>
      </c>
      <c r="D68" s="10" t="inlineStr">
        <is>
          <t>Pitcairn</t>
        </is>
      </c>
      <c r="E68" s="10" t="inlineStr">
        <is>
          <t>15140</t>
        </is>
      </c>
      <c r="F68" s="10" t="inlineStr">
        <is>
          <t>Pitcairn</t>
        </is>
      </c>
      <c r="G68" s="10" t="inlineStr">
        <is>
          <t>747-B-12</t>
        </is>
      </c>
      <c r="H68" s="10" t="inlineStr">
        <is>
          <t>0747-B-00012-0000-00</t>
        </is>
      </c>
      <c r="I68" s="10" t="inlineStr">
        <is>
          <t>Residential / unspecified</t>
        </is>
      </c>
      <c r="J68" s="10" t="inlineStr">
        <is>
          <t>Tax lien (Sci Fa sur tax lien)</t>
        </is>
      </c>
      <c r="K68" s="10" t="inlineStr">
        <is>
          <t>Entity (LLC/LP/Inc)</t>
        </is>
      </c>
      <c r="L68" s="10" t="inlineStr">
        <is>
          <t>R2 Property Group LLC</t>
        </is>
      </c>
      <c r="M68" s="10" t="inlineStr">
        <is>
          <t>Pitcairn Borough</t>
        </is>
      </c>
      <c r="N68" s="10" t="inlineStr">
        <is>
          <t>GOEHRING RUTTER &amp; BOEHM</t>
        </is>
      </c>
      <c r="O68" s="11" t="n">
        <v>13851.74</v>
      </c>
      <c r="P68" s="11" t="n"/>
      <c r="Q68" s="11" t="n">
        <v>13851.74</v>
      </c>
      <c r="R68" s="11" t="n"/>
      <c r="S68" s="10" t="inlineStr">
        <is>
          <t>✔ ✔ – ✔</t>
        </is>
      </c>
      <c r="T68" s="12" t="inlineStr">
        <is>
          <t>Sheriff OK box checked</t>
        </is>
      </c>
      <c r="U68" s="12" t="inlineStr"/>
      <c r="V68" s="12" t="inlineStr">
        <is>
          <t>OK TO SELL 11/2/26</t>
        </is>
      </c>
      <c r="W68" s="10" t="inlineStr">
        <is>
          <t>Pitcairn Boro</t>
        </is>
      </c>
      <c r="X68" s="13">
        <f>IFERROR(VLOOKUP(W68,'Transfer Tax'!$A$14:$H$400,8,FALSE),"")</f>
        <v/>
      </c>
      <c r="Y68" s="14" t="n"/>
      <c r="Z68" s="11">
        <f>IF(OR(Y68="",X68=""),"",Y68*'Transfer Tax'!$B$6*X68)</f>
        <v/>
      </c>
      <c r="AA68" s="14" t="n"/>
      <c r="AB68" s="15" t="n"/>
      <c r="AC68" s="14" t="n"/>
      <c r="AD68" s="15" t="n"/>
      <c r="AE68" s="10" t="inlineStr">
        <is>
          <t>2026-10-25</t>
        </is>
      </c>
    </row>
    <row r="69">
      <c r="A69" s="10" t="inlineStr">
        <is>
          <t>44NOV26</t>
        </is>
      </c>
      <c r="B69" s="10" t="inlineStr">
        <is>
          <t>MG-25-001073</t>
        </is>
      </c>
      <c r="C69" s="10" t="inlineStr">
        <is>
          <t>801 Brinton Ave</t>
        </is>
      </c>
      <c r="D69" s="10" t="inlineStr">
        <is>
          <t>Pitcairn</t>
        </is>
      </c>
      <c r="E69" s="10" t="inlineStr">
        <is>
          <t>15140</t>
        </is>
      </c>
      <c r="F69" s="10" t="inlineStr">
        <is>
          <t>Pitcairn</t>
        </is>
      </c>
      <c r="G69" s="10" t="inlineStr">
        <is>
          <t>746-R-179</t>
        </is>
      </c>
      <c r="H69" s="10" t="inlineStr">
        <is>
          <t>0746-R-00179-0000-00</t>
        </is>
      </c>
      <c r="I69" s="10" t="inlineStr">
        <is>
          <t>Residential / unspecified</t>
        </is>
      </c>
      <c r="J69" s="10" t="inlineStr">
        <is>
          <t>Mortgage foreclosure</t>
        </is>
      </c>
      <c r="K69" s="10" t="inlineStr">
        <is>
          <t>Individual</t>
        </is>
      </c>
      <c r="L69" s="10" t="inlineStr">
        <is>
          <t>TRKULA, JAMES</t>
        </is>
      </c>
      <c r="M69" s="10" t="inlineStr">
        <is>
          <t>MidFirst Bank</t>
        </is>
      </c>
      <c r="N69" s="10" t="inlineStr">
        <is>
          <t>MANLEY DEAS KOCHALSKI LLC</t>
        </is>
      </c>
      <c r="O69" s="11" t="n">
        <v>3555.7</v>
      </c>
      <c r="P69" s="11" t="n"/>
      <c r="Q69" s="11" t="n">
        <v>3555.7</v>
      </c>
      <c r="R69" s="11" t="n"/>
      <c r="S69" s="10" t="inlineStr">
        <is>
          <t>✔ ✔ – ✔</t>
        </is>
      </c>
      <c r="T69" s="12" t="inlineStr">
        <is>
          <t>Sheriff OK box checked</t>
        </is>
      </c>
      <c r="U69" s="12" t="inlineStr">
        <is>
          <t>FHA-insured loan</t>
        </is>
      </c>
      <c r="V69" s="12" t="inlineStr">
        <is>
          <t>FHA
OK TO SELL 11/2/26</t>
        </is>
      </c>
      <c r="W69" s="10" t="inlineStr">
        <is>
          <t>Pitcairn Boro</t>
        </is>
      </c>
      <c r="X69" s="13">
        <f>IFERROR(VLOOKUP(W69,'Transfer Tax'!$A$14:$H$400,8,FALSE),"")</f>
        <v/>
      </c>
      <c r="Y69" s="14" t="n"/>
      <c r="Z69" s="11">
        <f>IF(OR(Y69="",X69=""),"",Y69*'Transfer Tax'!$B$6*X69)</f>
        <v/>
      </c>
      <c r="AA69" s="14" t="n"/>
      <c r="AB69" s="15" t="n"/>
      <c r="AC69" s="14" t="n"/>
      <c r="AD69" s="15" t="n"/>
      <c r="AE69" s="10" t="inlineStr">
        <is>
          <t>2026-10-25</t>
        </is>
      </c>
    </row>
    <row r="70">
      <c r="A70" s="10" t="inlineStr">
        <is>
          <t>37OCT26</t>
        </is>
      </c>
      <c r="B70" s="10" t="inlineStr">
        <is>
          <t>GD-24-000634</t>
        </is>
      </c>
      <c r="C70" s="10" t="inlineStr">
        <is>
          <t>1108 High St</t>
        </is>
      </c>
      <c r="D70" s="10" t="inlineStr">
        <is>
          <t>Pittsburgh</t>
        </is>
      </c>
      <c r="E70" s="10" t="inlineStr">
        <is>
          <t>15212</t>
        </is>
      </c>
      <c r="F70" s="10" t="inlineStr">
        <is>
          <t>Pittsburgh</t>
        </is>
      </c>
      <c r="G70" s="10" t="inlineStr">
        <is>
          <t>24-B-229</t>
        </is>
      </c>
      <c r="H70" s="10" t="inlineStr">
        <is>
          <t>0024-B-00229-0000-00</t>
        </is>
      </c>
      <c r="I70" s="10" t="inlineStr">
        <is>
          <t>Residential / unspecified</t>
        </is>
      </c>
      <c r="J70" s="10" t="inlineStr">
        <is>
          <t>Mortgage foreclosure</t>
        </is>
      </c>
      <c r="K70" s="10" t="inlineStr">
        <is>
          <t>Entity (LLC/LP/Inc)</t>
        </is>
      </c>
      <c r="L70" s="10" t="inlineStr">
        <is>
          <t>S &amp; T Investment LLC</t>
        </is>
      </c>
      <c r="M70" s="10" t="inlineStr">
        <is>
          <t>Reigo by Meitav Dash US Investments, LLC</t>
        </is>
      </c>
      <c r="N70" s="10" t="inlineStr">
        <is>
          <t>GINGO PALUMBO LAW GROUP</t>
        </is>
      </c>
      <c r="O70" s="11" t="n">
        <v>6563.46</v>
      </c>
      <c r="P70" s="11" t="n"/>
      <c r="Q70" s="11" t="n">
        <v>6563.46</v>
      </c>
      <c r="R70" s="11" t="n"/>
      <c r="S70" s="10" t="inlineStr">
        <is>
          <t>✔ ✔ ✔ ✔</t>
        </is>
      </c>
      <c r="T70" s="12" t="inlineStr">
        <is>
          <t>Sheriff OK box checked</t>
        </is>
      </c>
      <c r="U70" s="12" t="inlineStr"/>
      <c r="V70" s="12" t="inlineStr">
        <is>
          <t>OK TO SELL 11-2-26</t>
        </is>
      </c>
      <c r="W70" s="10" t="inlineStr">
        <is>
          <t>Pittsburgh City (Pittsburgh SD)</t>
        </is>
      </c>
      <c r="X70" s="13">
        <f>IFERROR(VLOOKUP(W70,'Transfer Tax'!$A$14:$H$400,8,FALSE),"")</f>
        <v/>
      </c>
      <c r="Y70" s="14" t="n"/>
      <c r="Z70" s="11">
        <f>IF(OR(Y70="",X70=""),"",Y70*'Transfer Tax'!$B$6*X70)</f>
        <v/>
      </c>
      <c r="AA70" s="14" t="n"/>
      <c r="AB70" s="15" t="n"/>
      <c r="AC70" s="14" t="n"/>
      <c r="AD70" s="15" t="n"/>
      <c r="AE70" s="10" t="inlineStr">
        <is>
          <t>2026-10-25</t>
        </is>
      </c>
    </row>
    <row r="71">
      <c r="A71" s="10" t="inlineStr">
        <is>
          <t>63NOV26</t>
        </is>
      </c>
      <c r="B71" s="10" t="inlineStr">
        <is>
          <t>MG-25-001093</t>
        </is>
      </c>
      <c r="C71" s="10" t="inlineStr">
        <is>
          <t>1226 Denisonview Street ; Denisonview Street</t>
        </is>
      </c>
      <c r="D71" s="10" t="inlineStr">
        <is>
          <t>Pittsburgh</t>
        </is>
      </c>
      <c r="E71" s="10" t="inlineStr">
        <is>
          <t>15205</t>
        </is>
      </c>
      <c r="F71" s="10" t="inlineStr">
        <is>
          <t>Pittsburgh</t>
        </is>
      </c>
      <c r="G71" s="10" t="inlineStr">
        <is>
          <t>19-J-230 ; 19-N-210 ; 19-N-211</t>
        </is>
      </c>
      <c r="H71" s="10" t="inlineStr">
        <is>
          <t>0019-J-00230-0000-00 ; 0019-N-00210-0000-00 ; 0019-N-00211-0000-00</t>
        </is>
      </c>
      <c r="I71" s="10" t="inlineStr">
        <is>
          <t>Residential / unspecified ; Vacant Land</t>
        </is>
      </c>
      <c r="J71" s="10" t="inlineStr">
        <is>
          <t>Mortgage foreclosure</t>
        </is>
      </c>
      <c r="K71" s="10" t="inlineStr">
        <is>
          <t>Individual</t>
        </is>
      </c>
      <c r="L71" s="10" t="inlineStr">
        <is>
          <t>Logsdon, Christine M</t>
        </is>
      </c>
      <c r="M71" s="10" t="inlineStr">
        <is>
          <t>Pennsylvania Housing Finance Agency</t>
        </is>
      </c>
      <c r="N71" s="10" t="inlineStr">
        <is>
          <t>PURCELL KRUG &amp; HALLER</t>
        </is>
      </c>
      <c r="O71" s="11" t="n">
        <v>3451.97</v>
      </c>
      <c r="P71" s="11" t="n"/>
      <c r="Q71" s="11" t="n">
        <v>3451.97</v>
      </c>
      <c r="R71" s="11" t="n"/>
      <c r="S71" s="10" t="inlineStr">
        <is>
          <t>✔ ✔ – ✔</t>
        </is>
      </c>
      <c r="T71" s="12" t="inlineStr">
        <is>
          <t>Sheriff OK box checked</t>
        </is>
      </c>
      <c r="U71" s="12" t="inlineStr"/>
      <c r="V71" s="12" t="inlineStr">
        <is>
          <t>OK TO SELL 11/2/26</t>
        </is>
      </c>
      <c r="W71" s="10" t="inlineStr">
        <is>
          <t>Pittsburgh City (Pittsburgh SD)</t>
        </is>
      </c>
      <c r="X71" s="13">
        <f>IFERROR(VLOOKUP(W71,'Transfer Tax'!$A$14:$H$400,8,FALSE),"")</f>
        <v/>
      </c>
      <c r="Y71" s="14" t="n"/>
      <c r="Z71" s="11">
        <f>IF(OR(Y71="",X71=""),"",Y71*'Transfer Tax'!$B$6*X71)</f>
        <v/>
      </c>
      <c r="AA71" s="14" t="n"/>
      <c r="AB71" s="15" t="n"/>
      <c r="AC71" s="14" t="n"/>
      <c r="AD71" s="15" t="n"/>
      <c r="AE71" s="10" t="inlineStr">
        <is>
          <t>2026-10-25</t>
        </is>
      </c>
    </row>
    <row r="72">
      <c r="A72" s="10" t="inlineStr">
        <is>
          <t>149NOV26</t>
        </is>
      </c>
      <c r="B72" s="10" t="inlineStr">
        <is>
          <t>GD-26-005514</t>
        </is>
      </c>
      <c r="C72" s="10" t="inlineStr">
        <is>
          <t>130 E Meyers St</t>
        </is>
      </c>
      <c r="D72" s="10" t="inlineStr">
        <is>
          <t>Pittsburgh</t>
        </is>
      </c>
      <c r="E72" s="10" t="inlineStr">
        <is>
          <t>15210</t>
        </is>
      </c>
      <c r="F72" s="10" t="inlineStr">
        <is>
          <t>Pittsburgh</t>
        </is>
      </c>
      <c r="G72" s="10" t="inlineStr">
        <is>
          <t>60-H-198</t>
        </is>
      </c>
      <c r="H72" s="10" t="inlineStr">
        <is>
          <t>0060-H-00198-0000-00</t>
        </is>
      </c>
      <c r="I72" s="10" t="inlineStr">
        <is>
          <t>Residential / unspecified</t>
        </is>
      </c>
      <c r="J72" s="10" t="inlineStr">
        <is>
          <t>Tax lien (Sci Fa sur tax lien)</t>
        </is>
      </c>
      <c r="K72" s="10" t="inlineStr">
        <is>
          <t>Estate / heirs / trust</t>
        </is>
      </c>
      <c r="L72" s="10" t="inlineStr">
        <is>
          <t>Unknown Heirs of Matilda C. Brennan</t>
        </is>
      </c>
      <c r="M72" s="10" t="inlineStr">
        <is>
          <t>County of Allegheny</t>
        </is>
      </c>
      <c r="N72" s="10" t="inlineStr">
        <is>
          <t>GOEHRING RUTTER &amp; BOEHM</t>
        </is>
      </c>
      <c r="O72" s="11" t="n">
        <v>22363.09</v>
      </c>
      <c r="P72" s="11" t="n"/>
      <c r="Q72" s="11" t="n">
        <v>22363.09</v>
      </c>
      <c r="R72" s="11" t="n"/>
      <c r="S72" s="10" t="inlineStr">
        <is>
          <t>✔ ✔ – ✔</t>
        </is>
      </c>
      <c r="T72" s="12" t="inlineStr">
        <is>
          <t>Sheriff OK box checked</t>
        </is>
      </c>
      <c r="U72" s="12" t="inlineStr">
        <is>
          <t>Court decree on file</t>
        </is>
      </c>
      <c r="V72" s="12" t="inlineStr">
        <is>
          <t>DECREE
OK TO SELL 11/2/26</t>
        </is>
      </c>
      <c r="W72" s="10" t="inlineStr">
        <is>
          <t>Pittsburgh City (Pittsburgh SD)</t>
        </is>
      </c>
      <c r="X72" s="13">
        <f>IFERROR(VLOOKUP(W72,'Transfer Tax'!$A$14:$H$400,8,FALSE),"")</f>
        <v/>
      </c>
      <c r="Y72" s="14" t="n"/>
      <c r="Z72" s="11">
        <f>IF(OR(Y72="",X72=""),"",Y72*'Transfer Tax'!$B$6*X72)</f>
        <v/>
      </c>
      <c r="AA72" s="14" t="n"/>
      <c r="AB72" s="15" t="n"/>
      <c r="AC72" s="14" t="n"/>
      <c r="AD72" s="15" t="n"/>
      <c r="AE72" s="10" t="inlineStr">
        <is>
          <t>2026-10-25</t>
        </is>
      </c>
    </row>
    <row r="73">
      <c r="A73" s="10" t="inlineStr">
        <is>
          <t>21NOV26</t>
        </is>
      </c>
      <c r="B73" s="10" t="inlineStr">
        <is>
          <t>MG-22-000697</t>
        </is>
      </c>
      <c r="C73" s="10" t="inlineStr">
        <is>
          <t>1569 Summerdale St ; Margaret Street</t>
        </is>
      </c>
      <c r="D73" s="10" t="inlineStr">
        <is>
          <t>Pittsburgh</t>
        </is>
      </c>
      <c r="E73" s="10" t="inlineStr">
        <is>
          <t>15204</t>
        </is>
      </c>
      <c r="F73" s="10" t="inlineStr">
        <is>
          <t>Pittsburgh</t>
        </is>
      </c>
      <c r="G73" s="10" t="inlineStr">
        <is>
          <t>71-K-197 ; 71-K-244 ; 71-K-199</t>
        </is>
      </c>
      <c r="H73" s="10" t="inlineStr">
        <is>
          <t>0071-K-00197-0000-00 ; 0071-K-00244-0000-00 ; 0071-K-00199-0000-00</t>
        </is>
      </c>
      <c r="I73" s="10" t="inlineStr">
        <is>
          <t>Vacant Land ; Residential / unspecified</t>
        </is>
      </c>
      <c r="J73" s="10" t="inlineStr">
        <is>
          <t>Mortgage foreclosure</t>
        </is>
      </c>
      <c r="K73" s="10" t="inlineStr">
        <is>
          <t>Individual</t>
        </is>
      </c>
      <c r="L73" s="10" t="inlineStr">
        <is>
          <t>HESS, JUDITH</t>
        </is>
      </c>
      <c r="M73" s="10" t="inlineStr">
        <is>
          <t>U.S. Bank National Association</t>
        </is>
      </c>
      <c r="N73" s="10" t="inlineStr">
        <is>
          <t>LOGS LEGAL GROUP LLC</t>
        </is>
      </c>
      <c r="O73" s="11" t="n">
        <v>8628.91</v>
      </c>
      <c r="P73" s="11" t="n"/>
      <c r="Q73" s="11" t="n">
        <v>8628.91</v>
      </c>
      <c r="R73" s="11" t="n"/>
      <c r="S73" s="10" t="inlineStr">
        <is>
          <t>✔ ✔ – ✔</t>
        </is>
      </c>
      <c r="T73" s="12" t="inlineStr">
        <is>
          <t>Sheriff OK box checked</t>
        </is>
      </c>
      <c r="U73" s="12" t="inlineStr"/>
      <c r="V73" s="12" t="inlineStr">
        <is>
          <t>OK TO SELL 11/2/26</t>
        </is>
      </c>
      <c r="W73" s="10" t="inlineStr">
        <is>
          <t>Pittsburgh City (Pittsburgh SD)</t>
        </is>
      </c>
      <c r="X73" s="13">
        <f>IFERROR(VLOOKUP(W73,'Transfer Tax'!$A$14:$H$400,8,FALSE),"")</f>
        <v/>
      </c>
      <c r="Y73" s="14" t="n"/>
      <c r="Z73" s="11">
        <f>IF(OR(Y73="",X73=""),"",Y73*'Transfer Tax'!$B$6*X73)</f>
        <v/>
      </c>
      <c r="AA73" s="14" t="n"/>
      <c r="AB73" s="15" t="n"/>
      <c r="AC73" s="14" t="n"/>
      <c r="AD73" s="15" t="n"/>
      <c r="AE73" s="10" t="inlineStr">
        <is>
          <t>2026-10-25</t>
        </is>
      </c>
    </row>
    <row r="74">
      <c r="A74" s="10" t="inlineStr">
        <is>
          <t>151NOV26</t>
        </is>
      </c>
      <c r="B74" s="10" t="inlineStr">
        <is>
          <t>GD-26-005512</t>
        </is>
      </c>
      <c r="C74" s="10" t="inlineStr">
        <is>
          <t>1922 Westmont Ave</t>
        </is>
      </c>
      <c r="D74" s="10" t="inlineStr">
        <is>
          <t>Pittsburgh</t>
        </is>
      </c>
      <c r="E74" s="10" t="inlineStr">
        <is>
          <t>15210</t>
        </is>
      </c>
      <c r="F74" s="10" t="inlineStr">
        <is>
          <t>Pittsburgh</t>
        </is>
      </c>
      <c r="G74" s="10" t="inlineStr">
        <is>
          <t>60-R-237</t>
        </is>
      </c>
      <c r="H74" s="10" t="inlineStr">
        <is>
          <t>0060-R-00237-0000-00</t>
        </is>
      </c>
      <c r="I74" s="10" t="inlineStr">
        <is>
          <t>Residential / unspecified</t>
        </is>
      </c>
      <c r="J74" s="10" t="inlineStr">
        <is>
          <t>Tax lien (Sci Fa sur tax lien)</t>
        </is>
      </c>
      <c r="K74" s="10" t="inlineStr">
        <is>
          <t>Estate / heirs / trust</t>
        </is>
      </c>
      <c r="L74" s="10" t="inlineStr">
        <is>
          <t>Unknown Heirs of Pauline Lejeune</t>
        </is>
      </c>
      <c r="M74" s="10" t="inlineStr">
        <is>
          <t>County of Allegheny</t>
        </is>
      </c>
      <c r="N74" s="10" t="inlineStr">
        <is>
          <t>GOEHRING RUTTER &amp; BOEHM</t>
        </is>
      </c>
      <c r="O74" s="11" t="n">
        <v>43150.47</v>
      </c>
      <c r="P74" s="11" t="n"/>
      <c r="Q74" s="11" t="n">
        <v>43150.47</v>
      </c>
      <c r="R74" s="11" t="n"/>
      <c r="S74" s="10" t="inlineStr">
        <is>
          <t>✔ ✔ – ✔</t>
        </is>
      </c>
      <c r="T74" s="12" t="inlineStr">
        <is>
          <t>Sheriff OK box checked</t>
        </is>
      </c>
      <c r="U74" s="12" t="inlineStr">
        <is>
          <t>Court decree on file</t>
        </is>
      </c>
      <c r="V74" s="12" t="inlineStr">
        <is>
          <t>DECREE
OK TO SELL 11/2/26</t>
        </is>
      </c>
      <c r="W74" s="10" t="inlineStr">
        <is>
          <t>Pittsburgh City (Pittsburgh SD)</t>
        </is>
      </c>
      <c r="X74" s="13">
        <f>IFERROR(VLOOKUP(W74,'Transfer Tax'!$A$14:$H$400,8,FALSE),"")</f>
        <v/>
      </c>
      <c r="Y74" s="14" t="n"/>
      <c r="Z74" s="11">
        <f>IF(OR(Y74="",X74=""),"",Y74*'Transfer Tax'!$B$6*X74)</f>
        <v/>
      </c>
      <c r="AA74" s="14" t="n"/>
      <c r="AB74" s="15" t="n"/>
      <c r="AC74" s="14" t="n"/>
      <c r="AD74" s="15" t="n"/>
      <c r="AE74" s="10" t="inlineStr">
        <is>
          <t>2026-10-25</t>
        </is>
      </c>
    </row>
    <row r="75">
      <c r="A75" s="10" t="inlineStr">
        <is>
          <t>71NOV26</t>
        </is>
      </c>
      <c r="B75" s="10" t="inlineStr">
        <is>
          <t>MG-26-000179</t>
        </is>
      </c>
      <c r="C75" s="10" t="inlineStr">
        <is>
          <t>207 Fordyce Street</t>
        </is>
      </c>
      <c r="D75" s="10" t="inlineStr">
        <is>
          <t>Pittsburgh</t>
        </is>
      </c>
      <c r="E75" s="10" t="inlineStr">
        <is>
          <t>15210</t>
        </is>
      </c>
      <c r="F75" s="10" t="inlineStr">
        <is>
          <t>Pittsburgh</t>
        </is>
      </c>
      <c r="G75" s="10" t="inlineStr">
        <is>
          <t>34-H-311</t>
        </is>
      </c>
      <c r="H75" s="10" t="inlineStr">
        <is>
          <t>0034-H-00311-0000-00</t>
        </is>
      </c>
      <c r="I75" s="10" t="inlineStr">
        <is>
          <t>Residential / unspecified</t>
        </is>
      </c>
      <c r="J75" s="10" t="inlineStr">
        <is>
          <t>Mortgage foreclosure</t>
        </is>
      </c>
      <c r="K75" s="10" t="inlineStr">
        <is>
          <t>Individual</t>
        </is>
      </c>
      <c r="L75" s="10" t="inlineStr">
        <is>
          <t>Link, Jared M.</t>
        </is>
      </c>
      <c r="M75" s="10" t="inlineStr">
        <is>
          <t>Rocket Mortgage LLC</t>
        </is>
      </c>
      <c r="N75" s="10" t="inlineStr">
        <is>
          <t>BROCK &amp; SCOTT PLLC</t>
        </is>
      </c>
      <c r="O75" s="11" t="n">
        <v>4133.06</v>
      </c>
      <c r="P75" s="11" t="n"/>
      <c r="Q75" s="11" t="n">
        <v>4133.06</v>
      </c>
      <c r="R75" s="11" t="n"/>
      <c r="S75" s="10" t="inlineStr">
        <is>
          <t>✔ ✔ – ✔</t>
        </is>
      </c>
      <c r="T75" s="12" t="inlineStr">
        <is>
          <t>Sheriff OK box checked</t>
        </is>
      </c>
      <c r="U75" s="12" t="inlineStr"/>
      <c r="V75" s="12" t="inlineStr">
        <is>
          <t>OK TO SELL 11/2/26</t>
        </is>
      </c>
      <c r="W75" s="10" t="inlineStr">
        <is>
          <t>Pittsburgh City (Pittsburgh SD)</t>
        </is>
      </c>
      <c r="X75" s="13">
        <f>IFERROR(VLOOKUP(W75,'Transfer Tax'!$A$14:$H$400,8,FALSE),"")</f>
        <v/>
      </c>
      <c r="Y75" s="14" t="n"/>
      <c r="Z75" s="11">
        <f>IF(OR(Y75="",X75=""),"",Y75*'Transfer Tax'!$B$6*X75)</f>
        <v/>
      </c>
      <c r="AA75" s="14" t="n"/>
      <c r="AB75" s="15" t="n"/>
      <c r="AC75" s="14" t="n"/>
      <c r="AD75" s="15" t="n"/>
      <c r="AE75" s="10" t="inlineStr">
        <is>
          <t>2026-10-25</t>
        </is>
      </c>
    </row>
    <row r="76">
      <c r="A76" s="10" t="inlineStr">
        <is>
          <t>150NOV26</t>
        </is>
      </c>
      <c r="B76" s="10" t="inlineStr">
        <is>
          <t>GD-26-005370</t>
        </is>
      </c>
      <c r="C76" s="10" t="inlineStr">
        <is>
          <t>2285 Valera Ave</t>
        </is>
      </c>
      <c r="D76" s="10" t="inlineStr">
        <is>
          <t>Pittsburgh</t>
        </is>
      </c>
      <c r="E76" s="10" t="inlineStr">
        <is>
          <t>15210</t>
        </is>
      </c>
      <c r="F76" s="10" t="inlineStr">
        <is>
          <t>Pittsburgh</t>
        </is>
      </c>
      <c r="G76" s="10" t="inlineStr">
        <is>
          <t>95-L-29</t>
        </is>
      </c>
      <c r="H76" s="10" t="inlineStr">
        <is>
          <t>0095-L-00029-0000-00</t>
        </is>
      </c>
      <c r="I76" s="10" t="inlineStr">
        <is>
          <t>Residential / unspecified</t>
        </is>
      </c>
      <c r="J76" s="10" t="inlineStr">
        <is>
          <t>Tax lien (Sci Fa sur tax lien)</t>
        </is>
      </c>
      <c r="K76" s="10" t="inlineStr">
        <is>
          <t>Individual</t>
        </is>
      </c>
      <c r="L76" s="10" t="inlineStr">
        <is>
          <t>Metzger, Mathilda</t>
        </is>
      </c>
      <c r="M76" s="10" t="inlineStr">
        <is>
          <t>County of Allegheny</t>
        </is>
      </c>
      <c r="N76" s="10" t="inlineStr">
        <is>
          <t>GOEHRING RUTTER &amp; BOEHM</t>
        </is>
      </c>
      <c r="O76" s="11" t="n">
        <v>68460.82000000001</v>
      </c>
      <c r="P76" s="11" t="n"/>
      <c r="Q76" s="11" t="n">
        <v>68460.82000000001</v>
      </c>
      <c r="R76" s="11" t="n"/>
      <c r="S76" s="10" t="inlineStr">
        <is>
          <t>✔ ✔ – ✔</t>
        </is>
      </c>
      <c r="T76" s="12" t="inlineStr">
        <is>
          <t>Sheriff OK box checked</t>
        </is>
      </c>
      <c r="U76" s="12" t="inlineStr">
        <is>
          <t>Court decree on file</t>
        </is>
      </c>
      <c r="V76" s="12" t="inlineStr">
        <is>
          <t>DECREE
OK TO SELL 11/2/26</t>
        </is>
      </c>
      <c r="W76" s="10" t="inlineStr">
        <is>
          <t>Pittsburgh City (Pittsburgh SD)</t>
        </is>
      </c>
      <c r="X76" s="13">
        <f>IFERROR(VLOOKUP(W76,'Transfer Tax'!$A$14:$H$400,8,FALSE),"")</f>
        <v/>
      </c>
      <c r="Y76" s="14" t="n"/>
      <c r="Z76" s="11">
        <f>IF(OR(Y76="",X76=""),"",Y76*'Transfer Tax'!$B$6*X76)</f>
        <v/>
      </c>
      <c r="AA76" s="14" t="n"/>
      <c r="AB76" s="15" t="n"/>
      <c r="AC76" s="14" t="n"/>
      <c r="AD76" s="15" t="n"/>
      <c r="AE76" s="10" t="inlineStr">
        <is>
          <t>2026-10-25</t>
        </is>
      </c>
    </row>
    <row r="77">
      <c r="A77" s="10" t="inlineStr">
        <is>
          <t>152NOV26</t>
        </is>
      </c>
      <c r="B77" s="10" t="inlineStr">
        <is>
          <t>GD-26-005510</t>
        </is>
      </c>
      <c r="C77" s="10" t="inlineStr">
        <is>
          <t>232 Nobles Ln</t>
        </is>
      </c>
      <c r="D77" s="10" t="inlineStr">
        <is>
          <t>Pittsburgh</t>
        </is>
      </c>
      <c r="E77" s="10" t="inlineStr">
        <is>
          <t>15210</t>
        </is>
      </c>
      <c r="F77" s="10" t="inlineStr">
        <is>
          <t>Pittsburgh</t>
        </is>
      </c>
      <c r="G77" s="10" t="inlineStr">
        <is>
          <t>60-A-270</t>
        </is>
      </c>
      <c r="H77" s="10" t="inlineStr">
        <is>
          <t>0060-A-00270-0000-00</t>
        </is>
      </c>
      <c r="I77" s="10" t="inlineStr">
        <is>
          <t>Residential / unspecified</t>
        </is>
      </c>
      <c r="J77" s="10" t="inlineStr">
        <is>
          <t>Tax lien (Sci Fa sur tax lien)</t>
        </is>
      </c>
      <c r="K77" s="10" t="inlineStr">
        <is>
          <t>Estate / heirs / trust</t>
        </is>
      </c>
      <c r="L77" s="10" t="inlineStr">
        <is>
          <t>Oakridge Asset Property Trust</t>
        </is>
      </c>
      <c r="M77" s="10" t="inlineStr">
        <is>
          <t>County of Allegheny</t>
        </is>
      </c>
      <c r="N77" s="10" t="inlineStr">
        <is>
          <t>GOEHRING RUTTER &amp; BOEHM</t>
        </is>
      </c>
      <c r="O77" s="11" t="n">
        <v>18563.47</v>
      </c>
      <c r="P77" s="11" t="n"/>
      <c r="Q77" s="11" t="n">
        <v>18563.47</v>
      </c>
      <c r="R77" s="11" t="n"/>
      <c r="S77" s="10" t="inlineStr">
        <is>
          <t>✔ ✔ – ✔</t>
        </is>
      </c>
      <c r="T77" s="12" t="inlineStr">
        <is>
          <t>Sheriff OK box checked</t>
        </is>
      </c>
      <c r="U77" s="12" t="inlineStr">
        <is>
          <t>Court decree on file</t>
        </is>
      </c>
      <c r="V77" s="12" t="inlineStr">
        <is>
          <t>DECREE
OK TO SELL 11/2/26</t>
        </is>
      </c>
      <c r="W77" s="10" t="inlineStr">
        <is>
          <t>Pittsburgh City (Pittsburgh SD)</t>
        </is>
      </c>
      <c r="X77" s="13">
        <f>IFERROR(VLOOKUP(W77,'Transfer Tax'!$A$14:$H$400,8,FALSE),"")</f>
        <v/>
      </c>
      <c r="Y77" s="14" t="n"/>
      <c r="Z77" s="11">
        <f>IF(OR(Y77="",X77=""),"",Y77*'Transfer Tax'!$B$6*X77)</f>
        <v/>
      </c>
      <c r="AA77" s="14" t="n"/>
      <c r="AB77" s="15" t="n"/>
      <c r="AC77" s="14" t="n"/>
      <c r="AD77" s="15" t="n"/>
      <c r="AE77" s="10" t="inlineStr">
        <is>
          <t>2026-10-25</t>
        </is>
      </c>
    </row>
    <row r="78">
      <c r="A78" s="10" t="inlineStr">
        <is>
          <t>148NOV26</t>
        </is>
      </c>
      <c r="B78" s="10" t="inlineStr">
        <is>
          <t>GD-26-005372</t>
        </is>
      </c>
      <c r="C78" s="10" t="inlineStr">
        <is>
          <t>232 Zara St</t>
        </is>
      </c>
      <c r="D78" s="10" t="inlineStr">
        <is>
          <t>Pittsburgh</t>
        </is>
      </c>
      <c r="E78" s="10" t="inlineStr">
        <is>
          <t>15210</t>
        </is>
      </c>
      <c r="F78" s="10" t="inlineStr">
        <is>
          <t>Pittsburgh</t>
        </is>
      </c>
      <c r="G78" s="10" t="inlineStr">
        <is>
          <t>14-P-93</t>
        </is>
      </c>
      <c r="H78" s="10" t="inlineStr">
        <is>
          <t>0014-P-00093-0000-00</t>
        </is>
      </c>
      <c r="I78" s="10" t="inlineStr">
        <is>
          <t>Residential / unspecified</t>
        </is>
      </c>
      <c r="J78" s="10" t="inlineStr">
        <is>
          <t>Tax lien (Sci Fa sur tax lien)</t>
        </is>
      </c>
      <c r="K78" s="10" t="inlineStr">
        <is>
          <t>Entity (LLC/LP/Inc)</t>
        </is>
      </c>
      <c r="L78" s="10" t="inlineStr">
        <is>
          <t>Ustvrea LLC</t>
        </is>
      </c>
      <c r="M78" s="10" t="inlineStr">
        <is>
          <t>County of Allegheny</t>
        </is>
      </c>
      <c r="N78" s="10" t="inlineStr">
        <is>
          <t>GOEHRING RUTTER &amp; BOEHM</t>
        </is>
      </c>
      <c r="O78" s="11" t="n">
        <v>31281.9</v>
      </c>
      <c r="P78" s="11" t="n"/>
      <c r="Q78" s="11" t="n">
        <v>31281.9</v>
      </c>
      <c r="R78" s="11" t="n"/>
      <c r="S78" s="10" t="inlineStr">
        <is>
          <t>✔ ✔ – ✔</t>
        </is>
      </c>
      <c r="T78" s="12" t="inlineStr">
        <is>
          <t>Sheriff OK box checked</t>
        </is>
      </c>
      <c r="U78" s="12" t="inlineStr">
        <is>
          <t>Court decree on file</t>
        </is>
      </c>
      <c r="V78" s="12" t="inlineStr">
        <is>
          <t>DECREE
OK TO SELL 11/2/26</t>
        </is>
      </c>
      <c r="W78" s="10" t="inlineStr">
        <is>
          <t>Pittsburgh City (Pittsburgh SD)</t>
        </is>
      </c>
      <c r="X78" s="13">
        <f>IFERROR(VLOOKUP(W78,'Transfer Tax'!$A$14:$H$400,8,FALSE),"")</f>
        <v/>
      </c>
      <c r="Y78" s="14" t="n"/>
      <c r="Z78" s="11">
        <f>IF(OR(Y78="",X78=""),"",Y78*'Transfer Tax'!$B$6*X78)</f>
        <v/>
      </c>
      <c r="AA78" s="14" t="n"/>
      <c r="AB78" s="15" t="n"/>
      <c r="AC78" s="14" t="n"/>
      <c r="AD78" s="15" t="n"/>
      <c r="AE78" s="10" t="inlineStr">
        <is>
          <t>2026-10-25</t>
        </is>
      </c>
    </row>
    <row r="79">
      <c r="A79" s="10" t="inlineStr">
        <is>
          <t>155NOV26</t>
        </is>
      </c>
      <c r="B79" s="10" t="inlineStr">
        <is>
          <t>GD-26-005513</t>
        </is>
      </c>
      <c r="C79" s="10" t="inlineStr">
        <is>
          <t>27 Minooka St</t>
        </is>
      </c>
      <c r="D79" s="10" t="inlineStr">
        <is>
          <t>Pittsburgh</t>
        </is>
      </c>
      <c r="E79" s="10" t="inlineStr">
        <is>
          <t>15210</t>
        </is>
      </c>
      <c r="F79" s="10" t="inlineStr">
        <is>
          <t>Pittsburgh</t>
        </is>
      </c>
      <c r="G79" s="10" t="inlineStr">
        <is>
          <t>60-B-104</t>
        </is>
      </c>
      <c r="H79" s="10" t="inlineStr">
        <is>
          <t>0060-B-00104-0000-00</t>
        </is>
      </c>
      <c r="I79" s="10" t="inlineStr">
        <is>
          <t>Residential / unspecified</t>
        </is>
      </c>
      <c r="J79" s="10" t="inlineStr">
        <is>
          <t>Tax lien (Sci Fa sur tax lien)</t>
        </is>
      </c>
      <c r="K79" s="10" t="inlineStr">
        <is>
          <t>Estate / heirs / trust</t>
        </is>
      </c>
      <c r="L79" s="10" t="inlineStr">
        <is>
          <t>Unknown Heirs of John F. Wierzchowski</t>
        </is>
      </c>
      <c r="M79" s="10" t="inlineStr">
        <is>
          <t>County of Allegheny</t>
        </is>
      </c>
      <c r="N79" s="10" t="inlineStr">
        <is>
          <t>GOEHRING RUTTER &amp; BOEHM</t>
        </is>
      </c>
      <c r="O79" s="11" t="n">
        <v>29714.87</v>
      </c>
      <c r="P79" s="11" t="n"/>
      <c r="Q79" s="11" t="n">
        <v>29714.87</v>
      </c>
      <c r="R79" s="11" t="n"/>
      <c r="S79" s="10" t="inlineStr">
        <is>
          <t>✔ ✔ – ✔</t>
        </is>
      </c>
      <c r="T79" s="12" t="inlineStr">
        <is>
          <t>Sheriff OK box checked</t>
        </is>
      </c>
      <c r="U79" s="12" t="inlineStr">
        <is>
          <t>Court decree on file</t>
        </is>
      </c>
      <c r="V79" s="12" t="inlineStr">
        <is>
          <t>DECREE
OK TO SELL 11/2/26
304 96 30 0 430</t>
        </is>
      </c>
      <c r="W79" s="10" t="inlineStr">
        <is>
          <t>Pittsburgh City (Pittsburgh SD)</t>
        </is>
      </c>
      <c r="X79" s="13">
        <f>IFERROR(VLOOKUP(W79,'Transfer Tax'!$A$14:$H$400,8,FALSE),"")</f>
        <v/>
      </c>
      <c r="Y79" s="14" t="n"/>
      <c r="Z79" s="11">
        <f>IF(OR(Y79="",X79=""),"",Y79*'Transfer Tax'!$B$6*X79)</f>
        <v/>
      </c>
      <c r="AA79" s="14" t="n"/>
      <c r="AB79" s="15" t="n"/>
      <c r="AC79" s="14" t="n"/>
      <c r="AD79" s="15" t="n"/>
      <c r="AE79" s="10" t="inlineStr">
        <is>
          <t>2026-10-25</t>
        </is>
      </c>
    </row>
    <row r="80">
      <c r="A80" s="10" t="inlineStr">
        <is>
          <t>66SEP26</t>
        </is>
      </c>
      <c r="B80" s="10" t="inlineStr">
        <is>
          <t>MG-26-000148</t>
        </is>
      </c>
      <c r="C80" s="10" t="inlineStr">
        <is>
          <t>2716 Burham Street</t>
        </is>
      </c>
      <c r="D80" s="10" t="inlineStr">
        <is>
          <t>Pittsburgh</t>
        </is>
      </c>
      <c r="E80" s="10" t="inlineStr">
        <is>
          <t>15203</t>
        </is>
      </c>
      <c r="F80" s="10" t="inlineStr">
        <is>
          <t>Pittsburgh</t>
        </is>
      </c>
      <c r="G80" s="10" t="inlineStr">
        <is>
          <t>13-H-21</t>
        </is>
      </c>
      <c r="H80" s="10" t="inlineStr">
        <is>
          <t>0013-H-00021-0000-00</t>
        </is>
      </c>
      <c r="I80" s="10" t="inlineStr">
        <is>
          <t>Residential / unspecified</t>
        </is>
      </c>
      <c r="J80" s="10" t="inlineStr">
        <is>
          <t>Mortgage foreclosure</t>
        </is>
      </c>
      <c r="K80" s="10" t="inlineStr">
        <is>
          <t>Individual</t>
        </is>
      </c>
      <c r="L80" s="10" t="inlineStr">
        <is>
          <t>Richards, Jon</t>
        </is>
      </c>
      <c r="M80" s="10" t="inlineStr">
        <is>
          <t>HSBC Bank USA N.A.</t>
        </is>
      </c>
      <c r="N80" s="10" t="inlineStr">
        <is>
          <t>ROBERTSON ANSCHUTZ SCHNEID</t>
        </is>
      </c>
      <c r="O80" s="11" t="n">
        <v>14501.07</v>
      </c>
      <c r="P80" s="11" t="n"/>
      <c r="Q80" s="11" t="n">
        <v>14501.07</v>
      </c>
      <c r="R80" s="11" t="n"/>
      <c r="S80" s="10" t="inlineStr">
        <is>
          <t>✔ ✔ ✔ ✔</t>
        </is>
      </c>
      <c r="T80" s="12" t="inlineStr">
        <is>
          <t>Sheriff OK box checked</t>
        </is>
      </c>
      <c r="U80" s="12" t="inlineStr"/>
      <c r="V80" s="12" t="inlineStr">
        <is>
          <t>OK TO SELL 11/2/26</t>
        </is>
      </c>
      <c r="W80" s="10" t="inlineStr">
        <is>
          <t>Pittsburgh City (Pittsburgh SD)</t>
        </is>
      </c>
      <c r="X80" s="13">
        <f>IFERROR(VLOOKUP(W80,'Transfer Tax'!$A$14:$H$400,8,FALSE),"")</f>
        <v/>
      </c>
      <c r="Y80" s="14" t="n"/>
      <c r="Z80" s="11">
        <f>IF(OR(Y80="",X80=""),"",Y80*'Transfer Tax'!$B$6*X80)</f>
        <v/>
      </c>
      <c r="AA80" s="14" t="n"/>
      <c r="AB80" s="15" t="n"/>
      <c r="AC80" s="14" t="n"/>
      <c r="AD80" s="15" t="n"/>
      <c r="AE80" s="10" t="inlineStr">
        <is>
          <t>2026-10-25</t>
        </is>
      </c>
    </row>
    <row r="81">
      <c r="A81" s="10" t="inlineStr">
        <is>
          <t>58NOV26</t>
        </is>
      </c>
      <c r="B81" s="10" t="inlineStr">
        <is>
          <t>MG-26-000405</t>
        </is>
      </c>
      <c r="C81" s="10" t="inlineStr">
        <is>
          <t>3125 Ashlyn St</t>
        </is>
      </c>
      <c r="D81" s="10" t="inlineStr">
        <is>
          <t>Pittsburgh</t>
        </is>
      </c>
      <c r="E81" s="10" t="inlineStr">
        <is>
          <t>15204</t>
        </is>
      </c>
      <c r="F81" s="10" t="inlineStr">
        <is>
          <t>Pittsburgh</t>
        </is>
      </c>
      <c r="G81" s="10" t="inlineStr">
        <is>
          <t>42-L-273</t>
        </is>
      </c>
      <c r="H81" s="10" t="inlineStr">
        <is>
          <t>0042-L-00273-0000-00</t>
        </is>
      </c>
      <c r="I81" s="10" t="inlineStr">
        <is>
          <t>Residential / unspecified</t>
        </is>
      </c>
      <c r="J81" s="10" t="inlineStr">
        <is>
          <t>Mortgage foreclosure</t>
        </is>
      </c>
      <c r="K81" s="10" t="inlineStr">
        <is>
          <t>Individual</t>
        </is>
      </c>
      <c r="L81" s="10" t="inlineStr">
        <is>
          <t>Fennick, Olivia S.</t>
        </is>
      </c>
      <c r="M81" s="10" t="inlineStr">
        <is>
          <t>U.S. Bank Trust National Association</t>
        </is>
      </c>
      <c r="N81" s="10" t="inlineStr">
        <is>
          <t>STERN &amp; EISENBERG</t>
        </is>
      </c>
      <c r="O81" s="11" t="n">
        <v>1867.12</v>
      </c>
      <c r="P81" s="11" t="n"/>
      <c r="Q81" s="11" t="n">
        <v>1867.12</v>
      </c>
      <c r="R81" s="11" t="n"/>
      <c r="S81" s="10" t="inlineStr">
        <is>
          <t>✔ ✔ – ✔</t>
        </is>
      </c>
      <c r="T81" s="12" t="inlineStr">
        <is>
          <t>Sheriff OK box checked</t>
        </is>
      </c>
      <c r="U81" s="12" t="inlineStr"/>
      <c r="V81" s="12" t="inlineStr">
        <is>
          <t>OK TO SELL 11/2/26</t>
        </is>
      </c>
      <c r="W81" s="10" t="inlineStr">
        <is>
          <t>Pittsburgh City (Pittsburgh SD)</t>
        </is>
      </c>
      <c r="X81" s="13">
        <f>IFERROR(VLOOKUP(W81,'Transfer Tax'!$A$14:$H$400,8,FALSE),"")</f>
        <v/>
      </c>
      <c r="Y81" s="14" t="n"/>
      <c r="Z81" s="11">
        <f>IF(OR(Y81="",X81=""),"",Y81*'Transfer Tax'!$B$6*X81)</f>
        <v/>
      </c>
      <c r="AA81" s="14" t="n"/>
      <c r="AB81" s="15" t="n"/>
      <c r="AC81" s="14" t="n"/>
      <c r="AD81" s="15" t="n"/>
      <c r="AE81" s="10" t="inlineStr">
        <is>
          <t>2026-10-25</t>
        </is>
      </c>
    </row>
    <row r="82">
      <c r="A82" s="10" t="inlineStr">
        <is>
          <t>154NOV26</t>
        </is>
      </c>
      <c r="B82" s="10" t="inlineStr">
        <is>
          <t>GD-26-005367</t>
        </is>
      </c>
      <c r="C82" s="10" t="inlineStr">
        <is>
          <t>34 Minooka St</t>
        </is>
      </c>
      <c r="D82" s="10" t="inlineStr">
        <is>
          <t>Pittsburgh</t>
        </is>
      </c>
      <c r="E82" s="10" t="inlineStr">
        <is>
          <t>15210</t>
        </is>
      </c>
      <c r="F82" s="10" t="inlineStr">
        <is>
          <t>Pittsburgh</t>
        </is>
      </c>
      <c r="G82" s="10" t="inlineStr">
        <is>
          <t>33-P-333</t>
        </is>
      </c>
      <c r="H82" s="10" t="inlineStr">
        <is>
          <t>0033-P-00333-0000-00</t>
        </is>
      </c>
      <c r="I82" s="10" t="inlineStr">
        <is>
          <t>Residential / unspecified</t>
        </is>
      </c>
      <c r="J82" s="10" t="inlineStr">
        <is>
          <t>Tax lien (Sci Fa sur tax lien)</t>
        </is>
      </c>
      <c r="K82" s="10" t="inlineStr">
        <is>
          <t>Individual</t>
        </is>
      </c>
      <c r="L82" s="10" t="inlineStr">
        <is>
          <t>Carroll, Christopher</t>
        </is>
      </c>
      <c r="M82" s="10" t="inlineStr">
        <is>
          <t>County of Allegheny</t>
        </is>
      </c>
      <c r="N82" s="10" t="inlineStr">
        <is>
          <t>GOEHRING RUTTER &amp; BOEHM</t>
        </is>
      </c>
      <c r="O82" s="11" t="n">
        <v>20848.3</v>
      </c>
      <c r="P82" s="11" t="n"/>
      <c r="Q82" s="11" t="n">
        <v>20848.3</v>
      </c>
      <c r="R82" s="11" t="n"/>
      <c r="S82" s="10" t="inlineStr">
        <is>
          <t>✔ ✔ – ✔</t>
        </is>
      </c>
      <c r="T82" s="12" t="inlineStr">
        <is>
          <t>Sheriff OK box checked</t>
        </is>
      </c>
      <c r="U82" s="12" t="inlineStr">
        <is>
          <t>Court decree on file</t>
        </is>
      </c>
      <c r="V82" s="12" t="inlineStr">
        <is>
          <t>DECREE
OK TO SELL 11/2/26</t>
        </is>
      </c>
      <c r="W82" s="10" t="inlineStr">
        <is>
          <t>Pittsburgh City (Pittsburgh SD)</t>
        </is>
      </c>
      <c r="X82" s="13">
        <f>IFERROR(VLOOKUP(W82,'Transfer Tax'!$A$14:$H$400,8,FALSE),"")</f>
        <v/>
      </c>
      <c r="Y82" s="14" t="n"/>
      <c r="Z82" s="11">
        <f>IF(OR(Y82="",X82=""),"",Y82*'Transfer Tax'!$B$6*X82)</f>
        <v/>
      </c>
      <c r="AA82" s="14" t="n"/>
      <c r="AB82" s="15" t="n"/>
      <c r="AC82" s="14" t="n"/>
      <c r="AD82" s="15" t="n"/>
      <c r="AE82" s="10" t="inlineStr">
        <is>
          <t>2026-10-25</t>
        </is>
      </c>
    </row>
    <row r="83">
      <c r="A83" s="10" t="inlineStr">
        <is>
          <t>56SEP26</t>
        </is>
      </c>
      <c r="B83" s="10" t="inlineStr">
        <is>
          <t>GD-26-002653</t>
        </is>
      </c>
      <c r="C83" s="10" t="inlineStr">
        <is>
          <t>4022 Oswald Street</t>
        </is>
      </c>
      <c r="D83" s="10" t="inlineStr">
        <is>
          <t>Pittsburgh</t>
        </is>
      </c>
      <c r="E83" s="10" t="inlineStr">
        <is>
          <t>15212</t>
        </is>
      </c>
      <c r="F83" s="10" t="inlineStr">
        <is>
          <t>Pittsburgh</t>
        </is>
      </c>
      <c r="G83" s="10" t="inlineStr">
        <is>
          <t>114-K-132</t>
        </is>
      </c>
      <c r="H83" s="10" t="inlineStr">
        <is>
          <t>0114-K-00132-0000-00</t>
        </is>
      </c>
      <c r="I83" s="10" t="inlineStr">
        <is>
          <t>Residential / unspecified</t>
        </is>
      </c>
      <c r="J83" s="10" t="inlineStr">
        <is>
          <t>Mortgage foreclosure</t>
        </is>
      </c>
      <c r="K83" s="10" t="inlineStr">
        <is>
          <t>Entity (LLC/LP/Inc)</t>
        </is>
      </c>
      <c r="L83" s="10" t="inlineStr">
        <is>
          <t>C&amp;C Linhart LLC</t>
        </is>
      </c>
      <c r="M83" s="10" t="inlineStr">
        <is>
          <t>U.S. Bank Trust National Association</t>
        </is>
      </c>
      <c r="N83" s="10" t="inlineStr">
        <is>
          <t>HLADIK ONORATO AND FEDERMAN LLP</t>
        </is>
      </c>
      <c r="O83" s="11" t="n">
        <v>1961.72</v>
      </c>
      <c r="P83" s="11" t="n"/>
      <c r="Q83" s="11" t="n">
        <v>1961.72</v>
      </c>
      <c r="R83" s="11" t="n"/>
      <c r="S83" s="10" t="inlineStr">
        <is>
          <t>✔ ✔ ✔ ✔</t>
        </is>
      </c>
      <c r="T83" s="12" t="inlineStr">
        <is>
          <t>Sheriff OK box checked</t>
        </is>
      </c>
      <c r="U83" s="12" t="inlineStr"/>
      <c r="V83" s="12" t="inlineStr">
        <is>
          <t>OK TO SELL 11-2-26</t>
        </is>
      </c>
      <c r="W83" s="10" t="inlineStr">
        <is>
          <t>Pittsburgh City (Pittsburgh SD)</t>
        </is>
      </c>
      <c r="X83" s="13">
        <f>IFERROR(VLOOKUP(W83,'Transfer Tax'!$A$14:$H$400,8,FALSE),"")</f>
        <v/>
      </c>
      <c r="Y83" s="14" t="n"/>
      <c r="Z83" s="11">
        <f>IF(OR(Y83="",X83=""),"",Y83*'Transfer Tax'!$B$6*X83)</f>
        <v/>
      </c>
      <c r="AA83" s="14" t="n"/>
      <c r="AB83" s="15" t="n"/>
      <c r="AC83" s="14" t="n"/>
      <c r="AD83" s="15" t="n"/>
      <c r="AE83" s="10" t="inlineStr">
        <is>
          <t>2026-10-25</t>
        </is>
      </c>
    </row>
    <row r="84">
      <c r="A84" s="10" t="inlineStr">
        <is>
          <t>153NOV26</t>
        </is>
      </c>
      <c r="B84" s="10" t="inlineStr">
        <is>
          <t>GD-26-005511</t>
        </is>
      </c>
      <c r="C84" s="10" t="inlineStr">
        <is>
          <t>416 Arabella St</t>
        </is>
      </c>
      <c r="D84" s="10" t="inlineStr">
        <is>
          <t>Pittsburgh</t>
        </is>
      </c>
      <c r="E84" s="10" t="inlineStr">
        <is>
          <t>15210</t>
        </is>
      </c>
      <c r="F84" s="10" t="inlineStr">
        <is>
          <t>Pittsburgh</t>
        </is>
      </c>
      <c r="G84" s="10" t="inlineStr">
        <is>
          <t>33-A-299</t>
        </is>
      </c>
      <c r="H84" s="10" t="inlineStr">
        <is>
          <t>0033-A-00299-0000-00</t>
        </is>
      </c>
      <c r="I84" s="10" t="inlineStr">
        <is>
          <t>Residential / unspecified</t>
        </is>
      </c>
      <c r="J84" s="10" t="inlineStr">
        <is>
          <t>Tax lien (Sci Fa sur tax lien)</t>
        </is>
      </c>
      <c r="K84" s="10" t="inlineStr">
        <is>
          <t>Individual</t>
        </is>
      </c>
      <c r="L84" s="10" t="inlineStr">
        <is>
          <t>Bonner, Sharon</t>
        </is>
      </c>
      <c r="M84" s="10" t="inlineStr">
        <is>
          <t>County of Allegheny</t>
        </is>
      </c>
      <c r="N84" s="10" t="inlineStr">
        <is>
          <t>GOEHRING RUTTER &amp; BOEHM</t>
        </is>
      </c>
      <c r="O84" s="11" t="n">
        <v>56179.98</v>
      </c>
      <c r="P84" s="11" t="n"/>
      <c r="Q84" s="11" t="n">
        <v>56179.98</v>
      </c>
      <c r="R84" s="11" t="n"/>
      <c r="S84" s="10" t="inlineStr">
        <is>
          <t>✔ ✔ – ✔</t>
        </is>
      </c>
      <c r="T84" s="12" t="inlineStr">
        <is>
          <t>Sheriff OK box checked</t>
        </is>
      </c>
      <c r="U84" s="12" t="inlineStr">
        <is>
          <t>Court decree on file</t>
        </is>
      </c>
      <c r="V84" s="12" t="inlineStr">
        <is>
          <t>DECREE
OK TO SELL 11/2/26</t>
        </is>
      </c>
      <c r="W84" s="10" t="inlineStr">
        <is>
          <t>Pittsburgh City (Pittsburgh SD)</t>
        </is>
      </c>
      <c r="X84" s="13">
        <f>IFERROR(VLOOKUP(W84,'Transfer Tax'!$A$14:$H$400,8,FALSE),"")</f>
        <v/>
      </c>
      <c r="Y84" s="14" t="n"/>
      <c r="Z84" s="11">
        <f>IF(OR(Y84="",X84=""),"",Y84*'Transfer Tax'!$B$6*X84)</f>
        <v/>
      </c>
      <c r="AA84" s="14" t="n"/>
      <c r="AB84" s="15" t="n"/>
      <c r="AC84" s="14" t="n"/>
      <c r="AD84" s="15" t="n"/>
      <c r="AE84" s="10" t="inlineStr">
        <is>
          <t>2026-10-25</t>
        </is>
      </c>
    </row>
    <row r="85">
      <c r="A85" s="10" t="inlineStr">
        <is>
          <t>50NOV26</t>
        </is>
      </c>
      <c r="B85" s="10" t="inlineStr">
        <is>
          <t>MG-18-000394</t>
        </is>
      </c>
      <c r="C85" s="10" t="inlineStr">
        <is>
          <t>4320 Stanley St</t>
        </is>
      </c>
      <c r="D85" s="10" t="inlineStr">
        <is>
          <t>Pittsburgh</t>
        </is>
      </c>
      <c r="E85" s="10" t="inlineStr">
        <is>
          <t>15207</t>
        </is>
      </c>
      <c r="F85" s="10" t="inlineStr">
        <is>
          <t>Pittsburgh</t>
        </is>
      </c>
      <c r="G85" s="10" t="inlineStr">
        <is>
          <t>55-F-135</t>
        </is>
      </c>
      <c r="H85" s="10" t="inlineStr">
        <is>
          <t>0055-F-00135-0000-00</t>
        </is>
      </c>
      <c r="I85" s="10" t="inlineStr">
        <is>
          <t>Residential / unspecified</t>
        </is>
      </c>
      <c r="J85" s="10" t="inlineStr">
        <is>
          <t>Mortgage foreclosure</t>
        </is>
      </c>
      <c r="K85" s="10" t="inlineStr">
        <is>
          <t>Individual</t>
        </is>
      </c>
      <c r="L85" s="10" t="inlineStr">
        <is>
          <t>MANNION, MARGARET ANN</t>
        </is>
      </c>
      <c r="M85" s="10" t="inlineStr">
        <is>
          <t>ATLANTICA, LLC</t>
        </is>
      </c>
      <c r="N85" s="10" t="inlineStr">
        <is>
          <t>FEIN SUCH KAHN &amp; SHEPARD</t>
        </is>
      </c>
      <c r="O85" s="11" t="n">
        <v>7901.24</v>
      </c>
      <c r="P85" s="11" t="n"/>
      <c r="Q85" s="11" t="n">
        <v>7901.24</v>
      </c>
      <c r="R85" s="11" t="n"/>
      <c r="S85" s="10" t="inlineStr">
        <is>
          <t>✔ ✔ – ✔</t>
        </is>
      </c>
      <c r="T85" s="12" t="inlineStr">
        <is>
          <t>Sheriff OK box checked</t>
        </is>
      </c>
      <c r="U85" s="12" t="inlineStr"/>
      <c r="V85" s="12" t="inlineStr">
        <is>
          <t>OK TO SELL 11/2/26</t>
        </is>
      </c>
      <c r="W85" s="10" t="inlineStr">
        <is>
          <t>Pittsburgh City (Pittsburgh SD)</t>
        </is>
      </c>
      <c r="X85" s="13">
        <f>IFERROR(VLOOKUP(W85,'Transfer Tax'!$A$14:$H$400,8,FALSE),"")</f>
        <v/>
      </c>
      <c r="Y85" s="14" t="n"/>
      <c r="Z85" s="11">
        <f>IF(OR(Y85="",X85=""),"",Y85*'Transfer Tax'!$B$6*X85)</f>
        <v/>
      </c>
      <c r="AA85" s="14" t="n"/>
      <c r="AB85" s="15" t="n"/>
      <c r="AC85" s="14" t="n"/>
      <c r="AD85" s="15" t="n"/>
      <c r="AE85" s="10" t="inlineStr">
        <is>
          <t>2026-10-25</t>
        </is>
      </c>
    </row>
    <row r="86">
      <c r="A86" s="10" t="inlineStr">
        <is>
          <t>99SEP26</t>
        </is>
      </c>
      <c r="B86" s="10" t="inlineStr">
        <is>
          <t>MG-24-000613</t>
        </is>
      </c>
      <c r="C86" s="10" t="inlineStr">
        <is>
          <t>4942 Rosetta Street</t>
        </is>
      </c>
      <c r="D86" s="10" t="inlineStr">
        <is>
          <t>Pittsburgh</t>
        </is>
      </c>
      <c r="E86" s="10" t="inlineStr">
        <is>
          <t>15224</t>
        </is>
      </c>
      <c r="F86" s="10" t="inlineStr">
        <is>
          <t>Pittsburgh</t>
        </is>
      </c>
      <c r="G86" s="10" t="inlineStr">
        <is>
          <t>50-F-102</t>
        </is>
      </c>
      <c r="H86" s="10" t="inlineStr">
        <is>
          <t>0050-F-00102-0000-00</t>
        </is>
      </c>
      <c r="I86" s="10" t="inlineStr">
        <is>
          <t>Residential / unspecified</t>
        </is>
      </c>
      <c r="J86" s="10" t="inlineStr">
        <is>
          <t>Mortgage foreclosure</t>
        </is>
      </c>
      <c r="K86" s="10" t="inlineStr">
        <is>
          <t>Individual</t>
        </is>
      </c>
      <c r="L86" s="10" t="inlineStr">
        <is>
          <t>Floyd, Frank C.</t>
        </is>
      </c>
      <c r="M86" s="10" t="inlineStr">
        <is>
          <t>U.S. Bank National Association</t>
        </is>
      </c>
      <c r="N86" s="10" t="inlineStr">
        <is>
          <t>BROCK &amp; SCOTT PLLC</t>
        </is>
      </c>
      <c r="O86" s="11" t="n">
        <v>6236.97</v>
      </c>
      <c r="P86" s="11" t="n"/>
      <c r="Q86" s="11" t="n">
        <v>6236.97</v>
      </c>
      <c r="R86" s="11" t="n"/>
      <c r="S86" s="10" t="inlineStr">
        <is>
          <t>✔ ✔ ✔ ✔</t>
        </is>
      </c>
      <c r="T86" s="12" t="inlineStr">
        <is>
          <t>Sheriff OK box checked</t>
        </is>
      </c>
      <c r="U86" s="12" t="inlineStr"/>
      <c r="V86" s="12" t="inlineStr">
        <is>
          <t>OK TO SELL 11-2-26
O/C TO REASSESS DAMAGES RCVD ON 9-28-26 TO $33,671.98</t>
        </is>
      </c>
      <c r="W86" s="10" t="inlineStr">
        <is>
          <t>Pittsburgh City (Pittsburgh SD)</t>
        </is>
      </c>
      <c r="X86" s="13">
        <f>IFERROR(VLOOKUP(W86,'Transfer Tax'!$A$14:$H$400,8,FALSE),"")</f>
        <v/>
      </c>
      <c r="Y86" s="14" t="n"/>
      <c r="Z86" s="11">
        <f>IF(OR(Y86="",X86=""),"",Y86*'Transfer Tax'!$B$6*X86)</f>
        <v/>
      </c>
      <c r="AA86" s="14" t="n"/>
      <c r="AB86" s="15" t="n"/>
      <c r="AC86" s="14" t="n"/>
      <c r="AD86" s="15" t="n"/>
      <c r="AE86" s="10" t="inlineStr">
        <is>
          <t>2026-10-25</t>
        </is>
      </c>
    </row>
    <row r="87">
      <c r="A87" s="10" t="inlineStr">
        <is>
          <t>11NOV26</t>
        </is>
      </c>
      <c r="B87" s="10" t="inlineStr">
        <is>
          <t>MG-26-000373</t>
        </is>
      </c>
      <c r="C87" s="10" t="inlineStr">
        <is>
          <t>700 Attica Street</t>
        </is>
      </c>
      <c r="D87" s="10" t="inlineStr">
        <is>
          <t>Pittsburgh</t>
        </is>
      </c>
      <c r="E87" s="10" t="inlineStr">
        <is>
          <t>15220</t>
        </is>
      </c>
      <c r="F87" s="10" t="inlineStr">
        <is>
          <t>Pittsburgh</t>
        </is>
      </c>
      <c r="G87" s="10" t="inlineStr">
        <is>
          <t>19-D-23</t>
        </is>
      </c>
      <c r="H87" s="10" t="inlineStr">
        <is>
          <t>0019-D-00023-0000-00</t>
        </is>
      </c>
      <c r="I87" s="10" t="inlineStr">
        <is>
          <t>Residential / unspecified</t>
        </is>
      </c>
      <c r="J87" s="10" t="inlineStr">
        <is>
          <t>Mortgage foreclosure</t>
        </is>
      </c>
      <c r="K87" s="10" t="inlineStr">
        <is>
          <t>Individual</t>
        </is>
      </c>
      <c r="L87" s="10" t="inlineStr">
        <is>
          <t>Kyles, Augusta</t>
        </is>
      </c>
      <c r="M87" s="10" t="inlineStr">
        <is>
          <t>Bank of New York Mellon</t>
        </is>
      </c>
      <c r="N87" s="10" t="inlineStr">
        <is>
          <t>STERN &amp; EISENBERG</t>
        </is>
      </c>
      <c r="O87" s="11" t="n">
        <v>6739.5</v>
      </c>
      <c r="P87" s="11" t="n"/>
      <c r="Q87" s="11" t="n">
        <v>6739.5</v>
      </c>
      <c r="R87" s="11" t="n">
        <v>18682.02</v>
      </c>
      <c r="S87" s="10" t="inlineStr">
        <is>
          <t>✔ ✔ – ✔</t>
        </is>
      </c>
      <c r="T87" s="12" t="inlineStr">
        <is>
          <t>Sheriff OK box checked</t>
        </is>
      </c>
      <c r="U87" s="12" t="inlineStr"/>
      <c r="V87" s="12" t="inlineStr">
        <is>
          <t>OK TO SELL 11/2/26
RCVD O/C TO REASSESS DAMAGES $18,682.02</t>
        </is>
      </c>
      <c r="W87" s="10" t="inlineStr">
        <is>
          <t>Pittsburgh City (Pittsburgh SD)</t>
        </is>
      </c>
      <c r="X87" s="13">
        <f>IFERROR(VLOOKUP(W87,'Transfer Tax'!$A$14:$H$400,8,FALSE),"")</f>
        <v/>
      </c>
      <c r="Y87" s="14" t="n"/>
      <c r="Z87" s="11">
        <f>IF(OR(Y87="",X87=""),"",Y87*'Transfer Tax'!$B$6*X87)</f>
        <v/>
      </c>
      <c r="AA87" s="14" t="n"/>
      <c r="AB87" s="15" t="n"/>
      <c r="AC87" s="14" t="n"/>
      <c r="AD87" s="15" t="n"/>
      <c r="AE87" s="10" t="inlineStr">
        <is>
          <t>2026-10-25</t>
        </is>
      </c>
    </row>
    <row r="88">
      <c r="A88" s="10" t="inlineStr">
        <is>
          <t>67SEP26</t>
        </is>
      </c>
      <c r="B88" s="10" t="inlineStr">
        <is>
          <t>MG-26-000253</t>
        </is>
      </c>
      <c r="C88" s="10" t="inlineStr">
        <is>
          <t>713 Gearing Ave</t>
        </is>
      </c>
      <c r="D88" s="10" t="inlineStr">
        <is>
          <t>Pittsburgh</t>
        </is>
      </c>
      <c r="E88" s="10" t="inlineStr">
        <is>
          <t>15210</t>
        </is>
      </c>
      <c r="F88" s="10" t="inlineStr">
        <is>
          <t>Pittsburgh</t>
        </is>
      </c>
      <c r="G88" s="10" t="inlineStr">
        <is>
          <t>15-R-261</t>
        </is>
      </c>
      <c r="H88" s="10" t="inlineStr">
        <is>
          <t>0015-R-00261-0000-00</t>
        </is>
      </c>
      <c r="I88" s="10" t="inlineStr">
        <is>
          <t>Residential / unspecified</t>
        </is>
      </c>
      <c r="J88" s="10" t="inlineStr">
        <is>
          <t>Mortgage foreclosure</t>
        </is>
      </c>
      <c r="K88" s="10" t="inlineStr">
        <is>
          <t>Individual</t>
        </is>
      </c>
      <c r="L88" s="10" t="inlineStr">
        <is>
          <t>Hamilton, Clarence R.</t>
        </is>
      </c>
      <c r="M88" s="10" t="inlineStr">
        <is>
          <t>PNC Bank National Association</t>
        </is>
      </c>
      <c r="N88" s="10" t="inlineStr">
        <is>
          <t>ROBERTSON ANSCHUTZ SCHNEID</t>
        </is>
      </c>
      <c r="O88" s="11" t="n">
        <v>2016.48</v>
      </c>
      <c r="P88" s="11" t="n"/>
      <c r="Q88" s="11" t="n">
        <v>2016.48</v>
      </c>
      <c r="R88" s="11" t="n"/>
      <c r="S88" s="10" t="inlineStr">
        <is>
          <t>✔ ✔ ✔ ✔</t>
        </is>
      </c>
      <c r="T88" s="12" t="inlineStr">
        <is>
          <t>Sheriff OK box checked</t>
        </is>
      </c>
      <c r="U88" s="12" t="inlineStr"/>
      <c r="V88" s="12" t="inlineStr">
        <is>
          <t>OK TO SELL 11/2/26</t>
        </is>
      </c>
      <c r="W88" s="10" t="inlineStr">
        <is>
          <t>Pittsburgh City (Pittsburgh SD)</t>
        </is>
      </c>
      <c r="X88" s="13">
        <f>IFERROR(VLOOKUP(W88,'Transfer Tax'!$A$14:$H$400,8,FALSE),"")</f>
        <v/>
      </c>
      <c r="Y88" s="14" t="n"/>
      <c r="Z88" s="11">
        <f>IF(OR(Y88="",X88=""),"",Y88*'Transfer Tax'!$B$6*X88)</f>
        <v/>
      </c>
      <c r="AA88" s="14" t="n"/>
      <c r="AB88" s="15" t="n"/>
      <c r="AC88" s="14" t="n"/>
      <c r="AD88" s="15" t="n"/>
      <c r="AE88" s="10" t="inlineStr">
        <is>
          <t>2026-10-25</t>
        </is>
      </c>
    </row>
    <row r="89">
      <c r="A89" s="10" t="inlineStr">
        <is>
          <t>54NOV25</t>
        </is>
      </c>
      <c r="B89" s="10" t="inlineStr">
        <is>
          <t>GD-23-011927</t>
        </is>
      </c>
      <c r="C89" s="10" t="inlineStr">
        <is>
          <t>220 Old Lebanon Church Rd</t>
        </is>
      </c>
      <c r="D89" s="10" t="inlineStr">
        <is>
          <t>Pittsburgh</t>
        </is>
      </c>
      <c r="E89" s="10" t="inlineStr">
        <is>
          <t>15236</t>
        </is>
      </c>
      <c r="F89" s="10" t="inlineStr">
        <is>
          <t>Pleasant Hills</t>
        </is>
      </c>
      <c r="G89" s="10" t="inlineStr">
        <is>
          <t>388-K-167</t>
        </is>
      </c>
      <c r="H89" s="10" t="inlineStr">
        <is>
          <t>0388-K-00167-0000-00</t>
        </is>
      </c>
      <c r="I89" s="10" t="inlineStr">
        <is>
          <t>Residential / unspecified</t>
        </is>
      </c>
      <c r="J89" s="10" t="inlineStr">
        <is>
          <t>Tax lien (Sci Fa sur tax lien)</t>
        </is>
      </c>
      <c r="K89" s="10" t="inlineStr">
        <is>
          <t>Individual</t>
        </is>
      </c>
      <c r="L89" s="10" t="inlineStr">
        <is>
          <t>Slampak, Robert K</t>
        </is>
      </c>
      <c r="M89" s="10" t="inlineStr">
        <is>
          <t>West Jefferson Hills School District</t>
        </is>
      </c>
      <c r="N89" s="10" t="inlineStr">
        <is>
          <t>WEISS BURKARDT KRAMER LLC</t>
        </is>
      </c>
      <c r="O89" s="11" t="n">
        <v>159211.83</v>
      </c>
      <c r="P89" s="11" t="n">
        <v>25000</v>
      </c>
      <c r="Q89" s="11" t="n">
        <v>25000</v>
      </c>
      <c r="R89" s="11" t="n"/>
      <c r="S89" s="10" t="inlineStr">
        <is>
          <t>✔ ✔ ✔ ✔</t>
        </is>
      </c>
      <c r="T89" s="12" t="inlineStr">
        <is>
          <t>Sheriff OK box checked</t>
        </is>
      </c>
      <c r="U89" s="12" t="inlineStr">
        <is>
          <t>Free &amp; clear court order, min bid $25,000.00 (earlier orders: $100,000.00)
Prior winning bidder forfeited (property re-offered)
Opening bid recalculated – new C+T bid $152,696.57</t>
        </is>
      </c>
      <c r="V89" s="12" t="inlineStr">
        <is>
          <t>OK TO SELL 11-2-26
FORFEITED 10/5/26 ($5,600 FORFEITED)
FORFEITED 11/3/25 ($6,200 FORFEITED) 11-26-25 OC TO REFUND PURCHASER DESPOSIT
F/C O/C FOR A MIN BID OF $25,000.00 (NEW)
O/C F/C FOR A MIN BID OF $100,000.00
CALCULATED COST + TAX BID AS OF 10/5/26 $152,696.57-DPI</t>
        </is>
      </c>
      <c r="W89" s="10" t="inlineStr">
        <is>
          <t>Pleasant Hills Boro</t>
        </is>
      </c>
      <c r="X89" s="13">
        <f>IFERROR(VLOOKUP(W89,'Transfer Tax'!$A$14:$H$400,8,FALSE),"")</f>
        <v/>
      </c>
      <c r="Y89" s="14" t="n"/>
      <c r="Z89" s="11">
        <f>IF(OR(Y89="",X89=""),"",Y89*'Transfer Tax'!$B$6*X89)</f>
        <v/>
      </c>
      <c r="AA89" s="14" t="n"/>
      <c r="AB89" s="15" t="n"/>
      <c r="AC89" s="14" t="n"/>
      <c r="AD89" s="15" t="n"/>
      <c r="AE89" s="10" t="inlineStr">
        <is>
          <t>2026-10-25</t>
        </is>
      </c>
    </row>
    <row r="90">
      <c r="A90" s="10" t="inlineStr">
        <is>
          <t>14JUL26</t>
        </is>
      </c>
      <c r="B90" s="10" t="inlineStr">
        <is>
          <t>MG-24-000120</t>
        </is>
      </c>
      <c r="C90" s="10" t="inlineStr">
        <is>
          <t>4908 Sardis Rd</t>
        </is>
      </c>
      <c r="D90" s="10" t="inlineStr">
        <is>
          <t>New Kensington</t>
        </is>
      </c>
      <c r="E90" s="10" t="inlineStr">
        <is>
          <t>15068</t>
        </is>
      </c>
      <c r="F90" s="10" t="inlineStr">
        <is>
          <t>Plum</t>
        </is>
      </c>
      <c r="G90" s="10" t="inlineStr">
        <is>
          <t>968-K-261</t>
        </is>
      </c>
      <c r="H90" s="10" t="inlineStr">
        <is>
          <t>0968-K-00261-0000-00</t>
        </is>
      </c>
      <c r="I90" s="10" t="inlineStr">
        <is>
          <t>Residential / unspecified</t>
        </is>
      </c>
      <c r="J90" s="10" t="inlineStr">
        <is>
          <t>Mortgage foreclosure</t>
        </is>
      </c>
      <c r="K90" s="10" t="inlineStr">
        <is>
          <t>Estate / heirs / trust</t>
        </is>
      </c>
      <c r="L90" s="10" t="inlineStr">
        <is>
          <t>Unknown Heirs of Daniel Swanger Jr aka Daniel J Swanger Jr</t>
        </is>
      </c>
      <c r="M90" s="10" t="inlineStr">
        <is>
          <t>U.S. Bank Trust National Association</t>
        </is>
      </c>
      <c r="N90" s="10" t="inlineStr">
        <is>
          <t>FRIEDMAN VARTOLO LLP</t>
        </is>
      </c>
      <c r="O90" s="11" t="n">
        <v>9488.08</v>
      </c>
      <c r="P90" s="11" t="n"/>
      <c r="Q90" s="11" t="n">
        <v>9488.08</v>
      </c>
      <c r="R90" s="11" t="n">
        <v>161670.2</v>
      </c>
      <c r="S90" s="10" t="inlineStr">
        <is>
          <t>✔ ✔ ✔ ✔</t>
        </is>
      </c>
      <c r="T90" s="12" t="inlineStr">
        <is>
          <t>Sheriff OK box checked</t>
        </is>
      </c>
      <c r="U90" s="12" t="inlineStr"/>
      <c r="V90" s="12" t="inlineStr">
        <is>
          <t>OK TO SELL 11-2-26
RCVD O/C TO REASSESS DAMAGES $161,670.20</t>
        </is>
      </c>
      <c r="W90" s="10" t="inlineStr">
        <is>
          <t>Plum Boro</t>
        </is>
      </c>
      <c r="X90" s="13">
        <f>IFERROR(VLOOKUP(W90,'Transfer Tax'!$A$14:$H$400,8,FALSE),"")</f>
        <v/>
      </c>
      <c r="Y90" s="14" t="n"/>
      <c r="Z90" s="11">
        <f>IF(OR(Y90="",X90=""),"",Y90*'Transfer Tax'!$B$6*X90)</f>
        <v/>
      </c>
      <c r="AA90" s="14" t="n"/>
      <c r="AB90" s="15" t="n"/>
      <c r="AC90" s="14" t="n"/>
      <c r="AD90" s="15" t="n"/>
      <c r="AE90" s="10" t="inlineStr">
        <is>
          <t>2026-10-25</t>
        </is>
      </c>
    </row>
    <row r="91">
      <c r="A91" s="10" t="inlineStr">
        <is>
          <t>108NOV26</t>
        </is>
      </c>
      <c r="B91" s="10" t="inlineStr">
        <is>
          <t>GD-25-008525</t>
        </is>
      </c>
      <c r="C91" s="10" t="inlineStr">
        <is>
          <t>300 Wildflower Court</t>
        </is>
      </c>
      <c r="D91" s="10" t="inlineStr">
        <is>
          <t>Pittsburgh</t>
        </is>
      </c>
      <c r="E91" s="10" t="inlineStr">
        <is>
          <t>15202</t>
        </is>
      </c>
      <c r="F91" s="10" t="inlineStr">
        <is>
          <t>Ross</t>
        </is>
      </c>
      <c r="G91" s="10" t="inlineStr">
        <is>
          <t>216-P-104-D</t>
        </is>
      </c>
      <c r="H91" s="10" t="inlineStr">
        <is>
          <t>search by address</t>
        </is>
      </c>
      <c r="I91" s="10" t="inlineStr">
        <is>
          <t>Residential / unspecified</t>
        </is>
      </c>
      <c r="J91" s="10" t="inlineStr">
        <is>
          <t>Tax lien (Sci Fa sur tax lien)</t>
        </is>
      </c>
      <c r="K91" s="10" t="inlineStr">
        <is>
          <t>Individual</t>
        </is>
      </c>
      <c r="L91" s="10" t="inlineStr">
        <is>
          <t>Brenner, Brittany L.</t>
        </is>
      </c>
      <c r="M91" s="10" t="inlineStr">
        <is>
          <t>North Hills School District</t>
        </is>
      </c>
      <c r="N91" s="10" t="inlineStr">
        <is>
          <t>GOEHRING RUTTER &amp; BOEHM</t>
        </is>
      </c>
      <c r="O91" s="11" t="n">
        <v>26361.64</v>
      </c>
      <c r="P91" s="11" t="n"/>
      <c r="Q91" s="11" t="n">
        <v>26361.64</v>
      </c>
      <c r="R91" s="11" t="n"/>
      <c r="S91" s="10" t="inlineStr">
        <is>
          <t>✔ ✔ – ✔</t>
        </is>
      </c>
      <c r="T91" s="12" t="inlineStr">
        <is>
          <t>Sheriff OK box checked</t>
        </is>
      </c>
      <c r="U91" s="12" t="inlineStr"/>
      <c r="V91" s="12" t="inlineStr">
        <is>
          <t>OK TO SELL 11/2/26</t>
        </is>
      </c>
      <c r="W91" s="10" t="inlineStr">
        <is>
          <t>Ross Twp</t>
        </is>
      </c>
      <c r="X91" s="13">
        <f>IFERROR(VLOOKUP(W91,'Transfer Tax'!$A$14:$H$400,8,FALSE),"")</f>
        <v/>
      </c>
      <c r="Y91" s="14" t="n"/>
      <c r="Z91" s="11">
        <f>IF(OR(Y91="",X91=""),"",Y91*'Transfer Tax'!$B$6*X91)</f>
        <v/>
      </c>
      <c r="AA91" s="14" t="n"/>
      <c r="AB91" s="15" t="n"/>
      <c r="AC91" s="14" t="n"/>
      <c r="AD91" s="15" t="n"/>
      <c r="AE91" s="10" t="inlineStr">
        <is>
          <t>2026-10-25</t>
        </is>
      </c>
    </row>
    <row r="92">
      <c r="A92" s="10" t="inlineStr">
        <is>
          <t>52JUN26</t>
        </is>
      </c>
      <c r="B92" s="10" t="inlineStr">
        <is>
          <t>MG-24-000994</t>
        </is>
      </c>
      <c r="C92" s="10" t="inlineStr">
        <is>
          <t>612 Beall Way</t>
        </is>
      </c>
      <c r="D92" s="10" t="inlineStr">
        <is>
          <t>Sewickley</t>
        </is>
      </c>
      <c r="E92" s="10" t="inlineStr">
        <is>
          <t>15143</t>
        </is>
      </c>
      <c r="F92" s="10" t="inlineStr">
        <is>
          <t>Sewickley</t>
        </is>
      </c>
      <c r="G92" s="10" t="inlineStr">
        <is>
          <t>421-B-25</t>
        </is>
      </c>
      <c r="H92" s="10" t="inlineStr">
        <is>
          <t>0421-B-00025-0000-00</t>
        </is>
      </c>
      <c r="I92" s="10" t="inlineStr">
        <is>
          <t>Residential / unspecified</t>
        </is>
      </c>
      <c r="J92" s="10" t="inlineStr">
        <is>
          <t>Mortgage foreclosure</t>
        </is>
      </c>
      <c r="K92" s="10" t="inlineStr">
        <is>
          <t>Individual</t>
        </is>
      </c>
      <c r="L92" s="10" t="inlineStr">
        <is>
          <t>Graham, Eileen</t>
        </is>
      </c>
      <c r="M92" s="10" t="inlineStr">
        <is>
          <t>Wilmington Savings Fund Society, FSB</t>
        </is>
      </c>
      <c r="N92" s="10" t="inlineStr">
        <is>
          <t>FRIEDMAN VARTOLO LLP</t>
        </is>
      </c>
      <c r="O92" s="11" t="n">
        <v>1980.08</v>
      </c>
      <c r="P92" s="11" t="n"/>
      <c r="Q92" s="11" t="n">
        <v>1980.08</v>
      </c>
      <c r="R92" s="11" t="n">
        <v>300036.79</v>
      </c>
      <c r="S92" s="10" t="inlineStr">
        <is>
          <t>✔ ✔ ✔ ✔</t>
        </is>
      </c>
      <c r="T92" s="12" t="inlineStr">
        <is>
          <t>Sheriff OK box checked</t>
        </is>
      </c>
      <c r="U92" s="12" t="inlineStr"/>
      <c r="V92" s="12" t="inlineStr">
        <is>
          <t>OK TO SELL 11-2-26
O/C TO REASSESS DAMAGES TO $300,036.79</t>
        </is>
      </c>
      <c r="W92" s="10" t="inlineStr">
        <is>
          <t>Sewickley Boro</t>
        </is>
      </c>
      <c r="X92" s="13">
        <f>IFERROR(VLOOKUP(W92,'Transfer Tax'!$A$14:$H$400,8,FALSE),"")</f>
        <v/>
      </c>
      <c r="Y92" s="14" t="n"/>
      <c r="Z92" s="11">
        <f>IF(OR(Y92="",X92=""),"",Y92*'Transfer Tax'!$B$6*X92)</f>
        <v/>
      </c>
      <c r="AA92" s="14" t="n"/>
      <c r="AB92" s="15" t="n"/>
      <c r="AC92" s="14" t="n"/>
      <c r="AD92" s="15" t="n"/>
      <c r="AE92" s="10" t="inlineStr">
        <is>
          <t>2026-10-25</t>
        </is>
      </c>
    </row>
    <row r="93">
      <c r="A93" s="10" t="inlineStr">
        <is>
          <t>4OCT26</t>
        </is>
      </c>
      <c r="B93" s="10" t="inlineStr">
        <is>
          <t>AR-25-009094</t>
        </is>
      </c>
      <c r="C93" s="10" t="inlineStr">
        <is>
          <t>1400 Smokey Wood Drive Unit 609</t>
        </is>
      </c>
      <c r="D93" s="10" t="inlineStr">
        <is>
          <t>Pittsburgh</t>
        </is>
      </c>
      <c r="E93" s="10" t="inlineStr">
        <is>
          <t>15218</t>
        </is>
      </c>
      <c r="F93" s="10" t="inlineStr">
        <is>
          <t>Swissvale</t>
        </is>
      </c>
      <c r="G93" s="10" t="inlineStr">
        <is>
          <t>234-P-165-3609</t>
        </is>
      </c>
      <c r="H93" s="10" t="inlineStr">
        <is>
          <t>search by address</t>
        </is>
      </c>
      <c r="I93" s="10" t="inlineStr">
        <is>
          <t>Condominium</t>
        </is>
      </c>
      <c r="J93" s="10" t="inlineStr">
        <is>
          <t>HOA / condo assessment judgment</t>
        </is>
      </c>
      <c r="K93" s="10" t="inlineStr">
        <is>
          <t>Estate / heirs / trust</t>
        </is>
      </c>
      <c r="L93" s="10" t="inlineStr">
        <is>
          <t>Unknown Heirs of Vincent Catalano</t>
        </is>
      </c>
      <c r="M93" s="10" t="inlineStr">
        <is>
          <t>Forest Condominium Association</t>
        </is>
      </c>
      <c r="N93" s="10" t="inlineStr">
        <is>
          <t>BRANDT MILNES &amp; REA P. C.</t>
        </is>
      </c>
      <c r="O93" s="11" t="n">
        <v>11158.93</v>
      </c>
      <c r="P93" s="11" t="n"/>
      <c r="Q93" s="11" t="n">
        <v>11158.93</v>
      </c>
      <c r="R93" s="11" t="n"/>
      <c r="S93" s="10" t="inlineStr">
        <is>
          <t>✔ ✔ ✔ ✔</t>
        </is>
      </c>
      <c r="T93" s="12" t="inlineStr">
        <is>
          <t>Sheriff OK box checked</t>
        </is>
      </c>
      <c r="U93" s="12" t="inlineStr">
        <is>
          <t>HOA/condo judgment sale — a first mortgage may survive the sale</t>
        </is>
      </c>
      <c r="V93" s="12" t="inlineStr">
        <is>
          <t>OK TO SELL 11/2/26</t>
        </is>
      </c>
      <c r="W93" s="10" t="inlineStr">
        <is>
          <t>Swissvale Boro</t>
        </is>
      </c>
      <c r="X93" s="13">
        <f>IFERROR(VLOOKUP(W93,'Transfer Tax'!$A$14:$H$400,8,FALSE),"")</f>
        <v/>
      </c>
      <c r="Y93" s="14" t="n"/>
      <c r="Z93" s="11">
        <f>IF(OR(Y93="",X93=""),"",Y93*'Transfer Tax'!$B$6*X93)</f>
        <v/>
      </c>
      <c r="AA93" s="14" t="n"/>
      <c r="AB93" s="15" t="n"/>
      <c r="AC93" s="14" t="n"/>
      <c r="AD93" s="15" t="n"/>
      <c r="AE93" s="10" t="inlineStr">
        <is>
          <t>2026-10-25</t>
        </is>
      </c>
    </row>
    <row r="94">
      <c r="A94" s="10" t="inlineStr">
        <is>
          <t>98NOV26</t>
        </is>
      </c>
      <c r="B94" s="10" t="inlineStr">
        <is>
          <t>GD-25-005661</t>
        </is>
      </c>
      <c r="C94" s="10" t="inlineStr">
        <is>
          <t>2016 Monongahela Ave</t>
        </is>
      </c>
      <c r="D94" s="10" t="inlineStr">
        <is>
          <t>Pittsburgh</t>
        </is>
      </c>
      <c r="E94" s="10" t="inlineStr">
        <is>
          <t>15218</t>
        </is>
      </c>
      <c r="F94" s="10" t="inlineStr">
        <is>
          <t>Swissvale</t>
        </is>
      </c>
      <c r="G94" s="10" t="inlineStr">
        <is>
          <t>178-G-140</t>
        </is>
      </c>
      <c r="H94" s="10" t="inlineStr">
        <is>
          <t>0178-G-00140-0000-00</t>
        </is>
      </c>
      <c r="I94" s="10" t="inlineStr">
        <is>
          <t>Residential / unspecified</t>
        </is>
      </c>
      <c r="J94" s="10" t="inlineStr">
        <is>
          <t>Tax lien (Sci Fa sur tax lien)</t>
        </is>
      </c>
      <c r="K94" s="10" t="inlineStr">
        <is>
          <t>Individual</t>
        </is>
      </c>
      <c r="L94" s="10" t="inlineStr">
        <is>
          <t>Mobit, Isaiah A</t>
        </is>
      </c>
      <c r="M94" s="10" t="inlineStr">
        <is>
          <t>Woodland Hills School District</t>
        </is>
      </c>
      <c r="N94" s="10" t="inlineStr">
        <is>
          <t>GOEHRING RUTTER &amp; BOEHM</t>
        </is>
      </c>
      <c r="O94" s="11" t="n">
        <v>14492.45</v>
      </c>
      <c r="P94" s="11" t="n"/>
      <c r="Q94" s="11" t="n">
        <v>14492.45</v>
      </c>
      <c r="R94" s="11" t="n"/>
      <c r="S94" s="10" t="inlineStr">
        <is>
          <t>✔ ✔ – ✔</t>
        </is>
      </c>
      <c r="T94" s="12" t="inlineStr">
        <is>
          <t>Sheriff OK box checked</t>
        </is>
      </c>
      <c r="U94" s="12" t="inlineStr"/>
      <c r="V94" s="12" t="inlineStr">
        <is>
          <t>OK TO SELL 11/2/26</t>
        </is>
      </c>
      <c r="W94" s="10" t="inlineStr">
        <is>
          <t>Swissvale Boro</t>
        </is>
      </c>
      <c r="X94" s="13">
        <f>IFERROR(VLOOKUP(W94,'Transfer Tax'!$A$14:$H$400,8,FALSE),"")</f>
        <v/>
      </c>
      <c r="Y94" s="14" t="n"/>
      <c r="Z94" s="11">
        <f>IF(OR(Y94="",X94=""),"",Y94*'Transfer Tax'!$B$6*X94)</f>
        <v/>
      </c>
      <c r="AA94" s="14" t="n"/>
      <c r="AB94" s="15" t="n"/>
      <c r="AC94" s="14" t="n"/>
      <c r="AD94" s="15" t="n"/>
      <c r="AE94" s="10" t="inlineStr">
        <is>
          <t>2026-10-25</t>
        </is>
      </c>
    </row>
    <row r="95">
      <c r="A95" s="10" t="inlineStr">
        <is>
          <t>98AUG26</t>
        </is>
      </c>
      <c r="B95" s="10" t="inlineStr">
        <is>
          <t>GD-26-000316</t>
        </is>
      </c>
      <c r="C95" s="10" t="inlineStr">
        <is>
          <t>2213 Woodstock Ave</t>
        </is>
      </c>
      <c r="D95" s="10" t="inlineStr">
        <is>
          <t>Pittsburgh</t>
        </is>
      </c>
      <c r="E95" s="10" t="inlineStr">
        <is>
          <t>15218</t>
        </is>
      </c>
      <c r="F95" s="10" t="inlineStr">
        <is>
          <t>Swissvale</t>
        </is>
      </c>
      <c r="G95" s="10" t="inlineStr">
        <is>
          <t>178-H-210</t>
        </is>
      </c>
      <c r="H95" s="10" t="inlineStr">
        <is>
          <t>0178-H-00210-0000-00</t>
        </is>
      </c>
      <c r="I95" s="10" t="inlineStr">
        <is>
          <t>Residential / unspecified</t>
        </is>
      </c>
      <c r="J95" s="10" t="inlineStr">
        <is>
          <t>Mortgage foreclosure</t>
        </is>
      </c>
      <c r="K95" s="10" t="inlineStr">
        <is>
          <t>Entity (LLC/LP/Inc)</t>
        </is>
      </c>
      <c r="L95" s="10" t="inlineStr">
        <is>
          <t>Lewisbrothers0412 LLC</t>
        </is>
      </c>
      <c r="M95" s="10" t="inlineStr">
        <is>
          <t>NWL Company LLC</t>
        </is>
      </c>
      <c r="N95" s="10" t="inlineStr">
        <is>
          <t>FRIEDMAN VARTOLO LLP</t>
        </is>
      </c>
      <c r="O95" s="11" t="n">
        <v>2248.85</v>
      </c>
      <c r="P95" s="11" t="n"/>
      <c r="Q95" s="11" t="n">
        <v>2248.85</v>
      </c>
      <c r="R95" s="11" t="n"/>
      <c r="S95" s="10" t="inlineStr">
        <is>
          <t>✔ ✔ ✔ ✔</t>
        </is>
      </c>
      <c r="T95" s="12" t="inlineStr">
        <is>
          <t>Sheriff OK box checked</t>
        </is>
      </c>
      <c r="U95" s="12" t="inlineStr"/>
      <c r="V95" s="12" t="inlineStr">
        <is>
          <t>OK TO SELL 11-2-26</t>
        </is>
      </c>
      <c r="W95" s="10" t="inlineStr">
        <is>
          <t>Swissvale Boro</t>
        </is>
      </c>
      <c r="X95" s="13">
        <f>IFERROR(VLOOKUP(W95,'Transfer Tax'!$A$14:$H$400,8,FALSE),"")</f>
        <v/>
      </c>
      <c r="Y95" s="14" t="n"/>
      <c r="Z95" s="11">
        <f>IF(OR(Y95="",X95=""),"",Y95*'Transfer Tax'!$B$6*X95)</f>
        <v/>
      </c>
      <c r="AA95" s="14" t="n"/>
      <c r="AB95" s="15" t="n"/>
      <c r="AC95" s="14" t="n"/>
      <c r="AD95" s="15" t="n"/>
      <c r="AE95" s="10" t="inlineStr">
        <is>
          <t>2026-10-25</t>
        </is>
      </c>
    </row>
    <row r="96">
      <c r="A96" s="10" t="inlineStr">
        <is>
          <t>106NOV26</t>
        </is>
      </c>
      <c r="B96" s="10" t="inlineStr">
        <is>
          <t>GD-22-003481</t>
        </is>
      </c>
      <c r="C96" s="10" t="inlineStr">
        <is>
          <t>2312 S Braddock Avenue</t>
        </is>
      </c>
      <c r="D96" s="10" t="inlineStr">
        <is>
          <t>Pittsburgh</t>
        </is>
      </c>
      <c r="E96" s="10" t="inlineStr">
        <is>
          <t>15218</t>
        </is>
      </c>
      <c r="F96" s="10" t="inlineStr">
        <is>
          <t>Swissvale</t>
        </is>
      </c>
      <c r="G96" s="10" t="inlineStr">
        <is>
          <t>235-E-372</t>
        </is>
      </c>
      <c r="H96" s="10" t="inlineStr">
        <is>
          <t>0235-E-00372-0000-00</t>
        </is>
      </c>
      <c r="I96" s="10" t="inlineStr">
        <is>
          <t>Residential / unspecified</t>
        </is>
      </c>
      <c r="J96" s="10" t="inlineStr">
        <is>
          <t>Tax lien (Sci Fa sur tax lien)</t>
        </is>
      </c>
      <c r="K96" s="10" t="inlineStr">
        <is>
          <t>Entity (LLC/LP/Inc)</t>
        </is>
      </c>
      <c r="L96" s="10" t="inlineStr">
        <is>
          <t>HP Properties</t>
        </is>
      </c>
      <c r="M96" s="10" t="inlineStr">
        <is>
          <t>Woodland Hills School District</t>
        </is>
      </c>
      <c r="N96" s="10" t="inlineStr">
        <is>
          <t>GOEHRING RUTTER &amp; BOEHM</t>
        </is>
      </c>
      <c r="O96" s="11" t="n">
        <v>38919.1</v>
      </c>
      <c r="P96" s="11" t="n"/>
      <c r="Q96" s="11" t="n">
        <v>38919.1</v>
      </c>
      <c r="R96" s="11" t="n"/>
      <c r="S96" s="10" t="inlineStr">
        <is>
          <t>✔ ✔ – ✔</t>
        </is>
      </c>
      <c r="T96" s="12" t="inlineStr">
        <is>
          <t>Sheriff OK box checked</t>
        </is>
      </c>
      <c r="U96" s="12" t="inlineStr"/>
      <c r="V96" s="12" t="inlineStr">
        <is>
          <t>OK TO SELL 11/2/26</t>
        </is>
      </c>
      <c r="W96" s="10" t="inlineStr">
        <is>
          <t>Swissvale Boro</t>
        </is>
      </c>
      <c r="X96" s="13">
        <f>IFERROR(VLOOKUP(W96,'Transfer Tax'!$A$14:$H$400,8,FALSE),"")</f>
        <v/>
      </c>
      <c r="Y96" s="14" t="n"/>
      <c r="Z96" s="11">
        <f>IF(OR(Y96="",X96=""),"",Y96*'Transfer Tax'!$B$6*X96)</f>
        <v/>
      </c>
      <c r="AA96" s="14" t="n"/>
      <c r="AB96" s="15" t="n"/>
      <c r="AC96" s="14" t="n"/>
      <c r="AD96" s="15" t="n"/>
      <c r="AE96" s="10" t="inlineStr">
        <is>
          <t>2026-10-25</t>
        </is>
      </c>
    </row>
    <row r="97">
      <c r="A97" s="10" t="inlineStr">
        <is>
          <t>143NOV26</t>
        </is>
      </c>
      <c r="B97" s="10" t="inlineStr">
        <is>
          <t>GD-25-009219</t>
        </is>
      </c>
      <c r="C97" s="10" t="inlineStr">
        <is>
          <t>7471 Delmar Way</t>
        </is>
      </c>
      <c r="D97" s="10" t="inlineStr">
        <is>
          <t>Pittsburgh</t>
        </is>
      </c>
      <c r="E97" s="10" t="inlineStr">
        <is>
          <t>15218</t>
        </is>
      </c>
      <c r="F97" s="10" t="inlineStr">
        <is>
          <t>Swissvale</t>
        </is>
      </c>
      <c r="G97" s="10" t="inlineStr">
        <is>
          <t>177-R-292</t>
        </is>
      </c>
      <c r="H97" s="10" t="inlineStr">
        <is>
          <t>0177-R-00292-0000-00</t>
        </is>
      </c>
      <c r="I97" s="10" t="inlineStr">
        <is>
          <t>Residential / unspecified</t>
        </is>
      </c>
      <c r="J97" s="10" t="inlineStr">
        <is>
          <t>Tax lien (Sci Fa sur tax lien)</t>
        </is>
      </c>
      <c r="K97" s="10" t="inlineStr">
        <is>
          <t>Individual</t>
        </is>
      </c>
      <c r="L97" s="10" t="inlineStr">
        <is>
          <t>Stonebraker, Kathleen J.</t>
        </is>
      </c>
      <c r="M97" s="10" t="inlineStr">
        <is>
          <t>Borough of Swissvale</t>
        </is>
      </c>
      <c r="N97" s="10" t="inlineStr">
        <is>
          <t>KRATZENBERG &amp; LAZZARO</t>
        </is>
      </c>
      <c r="O97" s="11" t="n">
        <v>145809.04</v>
      </c>
      <c r="P97" s="11" t="n"/>
      <c r="Q97" s="11" t="n">
        <v>145809.04</v>
      </c>
      <c r="R97" s="11" t="n"/>
      <c r="S97" s="10" t="inlineStr">
        <is>
          <t>✔ ✔ – ✔</t>
        </is>
      </c>
      <c r="T97" s="12" t="inlineStr">
        <is>
          <t>Sheriff OK box checked</t>
        </is>
      </c>
      <c r="U97" s="12" t="inlineStr"/>
      <c r="V97" s="12" t="inlineStr">
        <is>
          <t>OK TO SELL 11/2/26</t>
        </is>
      </c>
      <c r="W97" s="10" t="inlineStr">
        <is>
          <t>Swissvale Boro</t>
        </is>
      </c>
      <c r="X97" s="13">
        <f>IFERROR(VLOOKUP(W97,'Transfer Tax'!$A$14:$H$400,8,FALSE),"")</f>
        <v/>
      </c>
      <c r="Y97" s="14" t="n"/>
      <c r="Z97" s="11">
        <f>IF(OR(Y97="",X97=""),"",Y97*'Transfer Tax'!$B$6*X97)</f>
        <v/>
      </c>
      <c r="AA97" s="14" t="n"/>
      <c r="AB97" s="15" t="n"/>
      <c r="AC97" s="14" t="n"/>
      <c r="AD97" s="15" t="n"/>
      <c r="AE97" s="10" t="inlineStr">
        <is>
          <t>2026-10-25</t>
        </is>
      </c>
    </row>
    <row r="98">
      <c r="A98" s="10" t="inlineStr">
        <is>
          <t>94NOV26</t>
        </is>
      </c>
      <c r="B98" s="10" t="inlineStr">
        <is>
          <t>GD-24-011356</t>
        </is>
      </c>
      <c r="C98" s="10" t="inlineStr">
        <is>
          <t>106 6th St</t>
        </is>
      </c>
      <c r="D98" s="10" t="inlineStr">
        <is>
          <t>Turtle Creek</t>
        </is>
      </c>
      <c r="E98" s="10" t="inlineStr">
        <is>
          <t>15145</t>
        </is>
      </c>
      <c r="F98" s="10" t="inlineStr">
        <is>
          <t>Turtle Creek</t>
        </is>
      </c>
      <c r="G98" s="10" t="inlineStr">
        <is>
          <t>456-H-19</t>
        </is>
      </c>
      <c r="H98" s="10" t="inlineStr">
        <is>
          <t>0456-H-00019-0000-00</t>
        </is>
      </c>
      <c r="I98" s="10" t="inlineStr">
        <is>
          <t>Residential / unspecified</t>
        </is>
      </c>
      <c r="J98" s="10" t="inlineStr">
        <is>
          <t>Tax lien (Sci Fa sur tax lien)</t>
        </is>
      </c>
      <c r="K98" s="10" t="inlineStr">
        <is>
          <t>Individual</t>
        </is>
      </c>
      <c r="L98" s="10" t="inlineStr">
        <is>
          <t>Gallagher, Brian E.</t>
        </is>
      </c>
      <c r="M98" s="10" t="inlineStr">
        <is>
          <t>Woodland Hills School District</t>
        </is>
      </c>
      <c r="N98" s="10" t="inlineStr">
        <is>
          <t>GOEHRING RUTTER &amp; BOEHM</t>
        </is>
      </c>
      <c r="O98" s="11" t="n">
        <v>16567.27</v>
      </c>
      <c r="P98" s="11" t="n"/>
      <c r="Q98" s="11" t="n">
        <v>16567.27</v>
      </c>
      <c r="R98" s="11" t="n"/>
      <c r="S98" s="10" t="inlineStr">
        <is>
          <t>✔ ✔ – ✔</t>
        </is>
      </c>
      <c r="T98" s="12" t="inlineStr">
        <is>
          <t>Sheriff OK box checked</t>
        </is>
      </c>
      <c r="U98" s="12" t="inlineStr"/>
      <c r="V98" s="12" t="inlineStr">
        <is>
          <t>OK TO SELL 11/2/26</t>
        </is>
      </c>
      <c r="W98" s="10" t="inlineStr">
        <is>
          <t>Turtle Creek Boro</t>
        </is>
      </c>
      <c r="X98" s="13">
        <f>IFERROR(VLOOKUP(W98,'Transfer Tax'!$A$14:$H$400,8,FALSE),"")</f>
        <v/>
      </c>
      <c r="Y98" s="14" t="n"/>
      <c r="Z98" s="11">
        <f>IF(OR(Y98="",X98=""),"",Y98*'Transfer Tax'!$B$6*X98)</f>
        <v/>
      </c>
      <c r="AA98" s="14" t="n"/>
      <c r="AB98" s="15" t="n"/>
      <c r="AC98" s="14" t="n"/>
      <c r="AD98" s="15" t="n"/>
      <c r="AE98" s="10" t="inlineStr">
        <is>
          <t>2026-10-25</t>
        </is>
      </c>
    </row>
    <row r="99">
      <c r="A99" s="10" t="inlineStr">
        <is>
          <t>138NOV26</t>
        </is>
      </c>
      <c r="B99" s="10" t="inlineStr">
        <is>
          <t>MG-26-000464</t>
        </is>
      </c>
      <c r="C99" s="10" t="inlineStr">
        <is>
          <t>125 8th Street</t>
        </is>
      </c>
      <c r="D99" s="10" t="inlineStr">
        <is>
          <t>Turtle Creek</t>
        </is>
      </c>
      <c r="E99" s="10" t="inlineStr">
        <is>
          <t>15145</t>
        </is>
      </c>
      <c r="F99" s="10" t="inlineStr">
        <is>
          <t>Turtle Creek</t>
        </is>
      </c>
      <c r="G99" s="10" t="inlineStr">
        <is>
          <t>456-C-42</t>
        </is>
      </c>
      <c r="H99" s="10" t="inlineStr">
        <is>
          <t>0456-C-00042-0000-00</t>
        </is>
      </c>
      <c r="I99" s="10" t="inlineStr">
        <is>
          <t>Residential / unspecified</t>
        </is>
      </c>
      <c r="J99" s="10" t="inlineStr">
        <is>
          <t>Mortgage foreclosure</t>
        </is>
      </c>
      <c r="K99" s="10" t="inlineStr">
        <is>
          <t>Individual</t>
        </is>
      </c>
      <c r="L99" s="10" t="inlineStr">
        <is>
          <t>Grande, Dominick</t>
        </is>
      </c>
      <c r="M99" s="10" t="inlineStr">
        <is>
          <t>Pennsylvania Housing Finance Agency</t>
        </is>
      </c>
      <c r="N99" s="10" t="inlineStr">
        <is>
          <t>VITTI LAW GROUP INC</t>
        </is>
      </c>
      <c r="O99" s="11" t="n">
        <v>2650.34</v>
      </c>
      <c r="P99" s="11" t="n"/>
      <c r="Q99" s="11" t="n">
        <v>2650.34</v>
      </c>
      <c r="R99" s="11" t="n"/>
      <c r="S99" s="10" t="inlineStr">
        <is>
          <t>✔ ✔ – ✔</t>
        </is>
      </c>
      <c r="T99" s="12" t="inlineStr">
        <is>
          <t>Sheriff OK box checked</t>
        </is>
      </c>
      <c r="U99" s="12" t="inlineStr"/>
      <c r="V99" s="12" t="inlineStr">
        <is>
          <t>OK TO SELL 11/2/26</t>
        </is>
      </c>
      <c r="W99" s="10" t="inlineStr">
        <is>
          <t>Turtle Creek Boro</t>
        </is>
      </c>
      <c r="X99" s="13">
        <f>IFERROR(VLOOKUP(W99,'Transfer Tax'!$A$14:$H$400,8,FALSE),"")</f>
        <v/>
      </c>
      <c r="Y99" s="14" t="n"/>
      <c r="Z99" s="11">
        <f>IF(OR(Y99="",X99=""),"",Y99*'Transfer Tax'!$B$6*X99)</f>
        <v/>
      </c>
      <c r="AA99" s="14" t="n"/>
      <c r="AB99" s="15" t="n"/>
      <c r="AC99" s="14" t="n"/>
      <c r="AD99" s="15" t="n"/>
      <c r="AE99" s="10" t="inlineStr">
        <is>
          <t>2026-10-25</t>
        </is>
      </c>
    </row>
    <row r="100">
      <c r="A100" s="10" t="inlineStr">
        <is>
          <t>105NOV26</t>
        </is>
      </c>
      <c r="B100" s="10" t="inlineStr">
        <is>
          <t>GD-22-013934</t>
        </is>
      </c>
      <c r="C100" s="10" t="inlineStr">
        <is>
          <t>1311 Maple Ave</t>
        </is>
      </c>
      <c r="D100" s="10" t="inlineStr">
        <is>
          <t>Turtle Creek</t>
        </is>
      </c>
      <c r="E100" s="10" t="inlineStr">
        <is>
          <t>15145</t>
        </is>
      </c>
      <c r="F100" s="10" t="inlineStr">
        <is>
          <t>Turtle Creek</t>
        </is>
      </c>
      <c r="G100" s="10" t="inlineStr">
        <is>
          <t>455-M-153</t>
        </is>
      </c>
      <c r="H100" s="10" t="inlineStr">
        <is>
          <t>0455-M-00153-0000-00</t>
        </is>
      </c>
      <c r="I100" s="10" t="inlineStr">
        <is>
          <t>Residential / unspecified</t>
        </is>
      </c>
      <c r="J100" s="10" t="inlineStr">
        <is>
          <t>Tax lien (Sci Fa sur tax lien)</t>
        </is>
      </c>
      <c r="K100" s="10" t="inlineStr">
        <is>
          <t>Individual</t>
        </is>
      </c>
      <c r="L100" s="10" t="inlineStr">
        <is>
          <t>Ward, Talise Jones</t>
        </is>
      </c>
      <c r="M100" s="10" t="inlineStr">
        <is>
          <t>Woodland Hills School District</t>
        </is>
      </c>
      <c r="N100" s="10" t="inlineStr">
        <is>
          <t>GOEHRING RUTTER &amp; BOEHM</t>
        </is>
      </c>
      <c r="O100" s="11" t="n">
        <v>44824.46</v>
      </c>
      <c r="P100" s="11" t="n"/>
      <c r="Q100" s="11" t="n">
        <v>44824.46</v>
      </c>
      <c r="R100" s="11" t="n"/>
      <c r="S100" s="10" t="inlineStr">
        <is>
          <t>✔ ✔ – ✔</t>
        </is>
      </c>
      <c r="T100" s="12" t="inlineStr">
        <is>
          <t>Sheriff OK box checked</t>
        </is>
      </c>
      <c r="U100" s="12" t="inlineStr"/>
      <c r="V100" s="12" t="inlineStr">
        <is>
          <t>OK TO SELL 11/2/26</t>
        </is>
      </c>
      <c r="W100" s="10" t="inlineStr">
        <is>
          <t>Turtle Creek Boro</t>
        </is>
      </c>
      <c r="X100" s="13">
        <f>IFERROR(VLOOKUP(W100,'Transfer Tax'!$A$14:$H$400,8,FALSE),"")</f>
        <v/>
      </c>
      <c r="Y100" s="14" t="n"/>
      <c r="Z100" s="11">
        <f>IF(OR(Y100="",X100=""),"",Y100*'Transfer Tax'!$B$6*X100)</f>
        <v/>
      </c>
      <c r="AA100" s="14" t="n"/>
      <c r="AB100" s="15" t="n"/>
      <c r="AC100" s="14" t="n"/>
      <c r="AD100" s="15" t="n"/>
      <c r="AE100" s="10" t="inlineStr">
        <is>
          <t>2026-10-25</t>
        </is>
      </c>
    </row>
    <row r="101">
      <c r="A101" s="10" t="inlineStr">
        <is>
          <t>108OCT26</t>
        </is>
      </c>
      <c r="B101" s="10" t="inlineStr">
        <is>
          <t>MG-24-000905</t>
        </is>
      </c>
      <c r="C101" s="10" t="inlineStr">
        <is>
          <t>1609 Mobile Avenue</t>
        </is>
      </c>
      <c r="D101" s="10" t="inlineStr">
        <is>
          <t>Turtle Creek</t>
        </is>
      </c>
      <c r="E101" s="10" t="inlineStr">
        <is>
          <t>15145</t>
        </is>
      </c>
      <c r="F101" s="10" t="inlineStr">
        <is>
          <t>Turtle Creek</t>
        </is>
      </c>
      <c r="G101" s="10" t="inlineStr">
        <is>
          <t>544-J-84</t>
        </is>
      </c>
      <c r="H101" s="10" t="inlineStr">
        <is>
          <t>0544-J-00084-0000-00</t>
        </is>
      </c>
      <c r="I101" s="10" t="inlineStr">
        <is>
          <t>Residential / unspecified</t>
        </is>
      </c>
      <c r="J101" s="10" t="inlineStr">
        <is>
          <t>Mortgage foreclosure</t>
        </is>
      </c>
      <c r="K101" s="10" t="inlineStr">
        <is>
          <t>Individual</t>
        </is>
      </c>
      <c r="L101" s="10" t="inlineStr">
        <is>
          <t>Dendy, Araminta Janai</t>
        </is>
      </c>
      <c r="M101" s="10" t="inlineStr">
        <is>
          <t>ROCKET MORTGAGE, LLC F/K/A QUICKEN LOANS, LLC</t>
        </is>
      </c>
      <c r="N101" s="10" t="inlineStr">
        <is>
          <t>BROCK &amp; SCOTT PLLC</t>
        </is>
      </c>
      <c r="O101" s="11" t="n">
        <v>1952.9</v>
      </c>
      <c r="P101" s="11" t="n"/>
      <c r="Q101" s="11" t="n">
        <v>1952.9</v>
      </c>
      <c r="R101" s="11" t="n"/>
      <c r="S101" s="10" t="inlineStr">
        <is>
          <t>✔ ✔ ✔ ✔</t>
        </is>
      </c>
      <c r="T101" s="12" t="inlineStr">
        <is>
          <t>Sheriff OK box checked</t>
        </is>
      </c>
      <c r="U101" s="12" t="inlineStr"/>
      <c r="V101" s="12" t="inlineStr">
        <is>
          <t>OK TO SELL 11-2-26</t>
        </is>
      </c>
      <c r="W101" s="10" t="inlineStr">
        <is>
          <t>Turtle Creek Boro</t>
        </is>
      </c>
      <c r="X101" s="13">
        <f>IFERROR(VLOOKUP(W101,'Transfer Tax'!$A$14:$H$400,8,FALSE),"")</f>
        <v/>
      </c>
      <c r="Y101" s="14" t="n"/>
      <c r="Z101" s="11">
        <f>IF(OR(Y101="",X101=""),"",Y101*'Transfer Tax'!$B$6*X101)</f>
        <v/>
      </c>
      <c r="AA101" s="14" t="n"/>
      <c r="AB101" s="15" t="n"/>
      <c r="AC101" s="14" t="n"/>
      <c r="AD101" s="15" t="n"/>
      <c r="AE101" s="10" t="inlineStr">
        <is>
          <t>2026-10-25</t>
        </is>
      </c>
    </row>
    <row r="102">
      <c r="A102" s="10" t="inlineStr">
        <is>
          <t>21MAY26</t>
        </is>
      </c>
      <c r="B102" s="10" t="inlineStr">
        <is>
          <t>GD-25-009504</t>
        </is>
      </c>
      <c r="C102" s="10" t="inlineStr">
        <is>
          <t>816 Kennedy Street</t>
        </is>
      </c>
      <c r="D102" s="10" t="inlineStr">
        <is>
          <t>West Elizabeth</t>
        </is>
      </c>
      <c r="E102" s="10" t="inlineStr">
        <is>
          <t>15088</t>
        </is>
      </c>
      <c r="F102" s="10" t="inlineStr">
        <is>
          <t>West Elizabeth</t>
        </is>
      </c>
      <c r="G102" s="10" t="inlineStr">
        <is>
          <t>1133-J-349</t>
        </is>
      </c>
      <c r="H102" s="10" t="inlineStr">
        <is>
          <t>1133-J-00349-0000-00</t>
        </is>
      </c>
      <c r="I102" s="10" t="inlineStr">
        <is>
          <t>Residential / unspecified</t>
        </is>
      </c>
      <c r="J102" s="10" t="inlineStr">
        <is>
          <t>Mortgage foreclosure</t>
        </is>
      </c>
      <c r="K102" s="10" t="inlineStr">
        <is>
          <t>Individual</t>
        </is>
      </c>
      <c r="L102" s="10" t="inlineStr">
        <is>
          <t>Mason, Brian D.</t>
        </is>
      </c>
      <c r="M102" s="10" t="inlineStr">
        <is>
          <t>Dollar Bank, Federal Savings Bank</t>
        </is>
      </c>
      <c r="N102" s="10" t="inlineStr">
        <is>
          <t>GRENEN &amp; BIRSIC P.C.</t>
        </is>
      </c>
      <c r="O102" s="11" t="n">
        <v>2302.4</v>
      </c>
      <c r="P102" s="11" t="n"/>
      <c r="Q102" s="11" t="n">
        <v>2302.4</v>
      </c>
      <c r="R102" s="11" t="n"/>
      <c r="S102" s="10" t="inlineStr">
        <is>
          <t>✔ ✔ ✔ ✔</t>
        </is>
      </c>
      <c r="T102" s="12" t="inlineStr">
        <is>
          <t>Sheriff OK box checked</t>
        </is>
      </c>
      <c r="U102" s="12" t="inlineStr"/>
      <c r="V102" s="12" t="inlineStr">
        <is>
          <t>OK TO SELL 11-2-26</t>
        </is>
      </c>
      <c r="W102" s="10" t="inlineStr">
        <is>
          <t>West Elizabeth Boro</t>
        </is>
      </c>
      <c r="X102" s="13">
        <f>IFERROR(VLOOKUP(W102,'Transfer Tax'!$A$14:$H$400,8,FALSE),"")</f>
        <v/>
      </c>
      <c r="Y102" s="14" t="n"/>
      <c r="Z102" s="11">
        <f>IF(OR(Y102="",X102=""),"",Y102*'Transfer Tax'!$B$6*X102)</f>
        <v/>
      </c>
      <c r="AA102" s="14" t="n"/>
      <c r="AB102" s="15" t="n"/>
      <c r="AC102" s="14" t="n"/>
      <c r="AD102" s="15" t="n"/>
      <c r="AE102" s="10" t="inlineStr">
        <is>
          <t>2026-10-25</t>
        </is>
      </c>
    </row>
    <row r="103">
      <c r="A103" s="10" t="inlineStr">
        <is>
          <t>48NOV26</t>
        </is>
      </c>
      <c r="B103" s="10" t="inlineStr">
        <is>
          <t>GD-26-004532</t>
        </is>
      </c>
      <c r="C103" s="10" t="inlineStr">
        <is>
          <t>1509 Pennsylvania Avenue</t>
        </is>
      </c>
      <c r="D103" s="10" t="inlineStr">
        <is>
          <t>West Mifflin</t>
        </is>
      </c>
      <c r="E103" s="10" t="inlineStr">
        <is>
          <t>15122</t>
        </is>
      </c>
      <c r="F103" s="10" t="inlineStr">
        <is>
          <t>West Mifflin</t>
        </is>
      </c>
      <c r="G103" s="10" t="inlineStr">
        <is>
          <t>306-G-292</t>
        </is>
      </c>
      <c r="H103" s="10" t="inlineStr">
        <is>
          <t>0306-G-00292-0000-00</t>
        </is>
      </c>
      <c r="I103" s="10" t="inlineStr">
        <is>
          <t>Residential / unspecified</t>
        </is>
      </c>
      <c r="J103" s="10" t="inlineStr">
        <is>
          <t>Mortgage foreclosure</t>
        </is>
      </c>
      <c r="K103" s="10" t="inlineStr">
        <is>
          <t>Individual</t>
        </is>
      </c>
      <c r="L103" s="10" t="inlineStr">
        <is>
          <t>Miller, Luke</t>
        </is>
      </c>
      <c r="M103" s="10" t="inlineStr">
        <is>
          <t>NewRez LLC d/b/a Shellpoint Mortgage Servicing</t>
        </is>
      </c>
      <c r="N103" s="10" t="inlineStr">
        <is>
          <t>MANLEY DEAS KOCHALSKI LLC</t>
        </is>
      </c>
      <c r="O103" s="11" t="n">
        <v>2167.19</v>
      </c>
      <c r="P103" s="11" t="n"/>
      <c r="Q103" s="11" t="n">
        <v>2167.19</v>
      </c>
      <c r="R103" s="11" t="n"/>
      <c r="S103" s="10" t="inlineStr">
        <is>
          <t>✔ ✔ – ✔</t>
        </is>
      </c>
      <c r="T103" s="12" t="inlineStr">
        <is>
          <t>Sheriff OK box checked</t>
        </is>
      </c>
      <c r="U103" s="12" t="inlineStr"/>
      <c r="V103" s="12" t="inlineStr">
        <is>
          <t>OK TO SELL 11/2/26</t>
        </is>
      </c>
      <c r="W103" s="10" t="inlineStr">
        <is>
          <t>West Mifflin Boro</t>
        </is>
      </c>
      <c r="X103" s="13">
        <f>IFERROR(VLOOKUP(W103,'Transfer Tax'!$A$14:$H$400,8,FALSE),"")</f>
        <v/>
      </c>
      <c r="Y103" s="14" t="n"/>
      <c r="Z103" s="11">
        <f>IF(OR(Y103="",X103=""),"",Y103*'Transfer Tax'!$B$6*X103)</f>
        <v/>
      </c>
      <c r="AA103" s="14" t="n"/>
      <c r="AB103" s="15" t="n"/>
      <c r="AC103" s="14" t="n"/>
      <c r="AD103" s="15" t="n"/>
      <c r="AE103" s="10" t="inlineStr">
        <is>
          <t>2026-10-25</t>
        </is>
      </c>
    </row>
    <row r="104">
      <c r="A104" s="10" t="inlineStr">
        <is>
          <t>7AUG26</t>
        </is>
      </c>
      <c r="B104" s="10" t="inlineStr">
        <is>
          <t>GD-25-000701</t>
        </is>
      </c>
      <c r="C104" s="10" t="inlineStr">
        <is>
          <t>3122 Capitol Street</t>
        </is>
      </c>
      <c r="D104" s="10" t="inlineStr">
        <is>
          <t>White Oak</t>
        </is>
      </c>
      <c r="E104" s="10" t="inlineStr">
        <is>
          <t>15131</t>
        </is>
      </c>
      <c r="F104" s="10" t="inlineStr">
        <is>
          <t>White Oak</t>
        </is>
      </c>
      <c r="G104" s="10" t="inlineStr">
        <is>
          <t>460-S-113</t>
        </is>
      </c>
      <c r="H104" s="10" t="inlineStr">
        <is>
          <t>0460-S-00113-0000-00</t>
        </is>
      </c>
      <c r="I104" s="10" t="inlineStr">
        <is>
          <t>Residential / unspecified</t>
        </is>
      </c>
      <c r="J104" s="10" t="inlineStr">
        <is>
          <t>Mortgage foreclosure</t>
        </is>
      </c>
      <c r="K104" s="10" t="inlineStr">
        <is>
          <t>Estate / heirs / trust</t>
        </is>
      </c>
      <c r="L104" s="10" t="inlineStr">
        <is>
          <t>Unknown Heirs of Deborah J. Bartha deceased</t>
        </is>
      </c>
      <c r="M104" s="10" t="inlineStr">
        <is>
          <t>PNC Bank National Associaiton</t>
        </is>
      </c>
      <c r="N104" s="10" t="inlineStr">
        <is>
          <t>LOGS LEGAL GROUP LLC</t>
        </is>
      </c>
      <c r="O104" s="11" t="n">
        <v>4022.46</v>
      </c>
      <c r="P104" s="11" t="n"/>
      <c r="Q104" s="11" t="n">
        <v>4022.46</v>
      </c>
      <c r="R104" s="11" t="n"/>
      <c r="S104" s="10" t="inlineStr">
        <is>
          <t>✔ ✔ ✔ ✔</t>
        </is>
      </c>
      <c r="T104" s="12" t="inlineStr">
        <is>
          <t>Sheriff OK box checked</t>
        </is>
      </c>
      <c r="U104" s="12" t="inlineStr"/>
      <c r="V104" s="12" t="inlineStr">
        <is>
          <t>OK TO SELL 11-2-26</t>
        </is>
      </c>
      <c r="W104" s="10" t="inlineStr">
        <is>
          <t>White Oak Boro</t>
        </is>
      </c>
      <c r="X104" s="13">
        <f>IFERROR(VLOOKUP(W104,'Transfer Tax'!$A$14:$H$400,8,FALSE),"")</f>
        <v/>
      </c>
      <c r="Y104" s="14" t="n"/>
      <c r="Z104" s="11">
        <f>IF(OR(Y104="",X104=""),"",Y104*'Transfer Tax'!$B$6*X104)</f>
        <v/>
      </c>
      <c r="AA104" s="14" t="n"/>
      <c r="AB104" s="15" t="n"/>
      <c r="AC104" s="14" t="n"/>
      <c r="AD104" s="15" t="n"/>
      <c r="AE104" s="10" t="inlineStr">
        <is>
          <t>2026-10-25</t>
        </is>
      </c>
    </row>
    <row r="105">
      <c r="A105" s="10" t="inlineStr">
        <is>
          <t>87NOV26</t>
        </is>
      </c>
      <c r="B105" s="10" t="inlineStr">
        <is>
          <t>GD-24-011348</t>
        </is>
      </c>
      <c r="C105" s="10" t="inlineStr">
        <is>
          <t>3302 Foster Rd</t>
        </is>
      </c>
      <c r="D105" s="10" t="inlineStr">
        <is>
          <t>Mc Keesport</t>
        </is>
      </c>
      <c r="E105" s="10" t="inlineStr">
        <is>
          <t>15131</t>
        </is>
      </c>
      <c r="F105" s="10" t="inlineStr">
        <is>
          <t>White Oak</t>
        </is>
      </c>
      <c r="G105" s="10" t="inlineStr">
        <is>
          <t>549-N-323</t>
        </is>
      </c>
      <c r="H105" s="10" t="inlineStr">
        <is>
          <t>0549-N-00323-0000-00</t>
        </is>
      </c>
      <c r="I105" s="10" t="inlineStr">
        <is>
          <t>Residential / unspecified</t>
        </is>
      </c>
      <c r="J105" s="10" t="inlineStr">
        <is>
          <t>Tax lien (Sci Fa sur tax lien)</t>
        </is>
      </c>
      <c r="K105" s="10" t="inlineStr">
        <is>
          <t>Estate / heirs / trust</t>
        </is>
      </c>
      <c r="L105" s="10" t="inlineStr">
        <is>
          <t>Unknown Heirs of Carl Anthony Raiders deceased</t>
        </is>
      </c>
      <c r="M105" s="10" t="inlineStr">
        <is>
          <t>White Oak Borough</t>
        </is>
      </c>
      <c r="N105" s="10" t="inlineStr">
        <is>
          <t>KRATZENBERG &amp; LAZZARO</t>
        </is>
      </c>
      <c r="O105" s="11" t="n">
        <v>25821.43</v>
      </c>
      <c r="P105" s="11" t="n"/>
      <c r="Q105" s="11" t="n">
        <v>25821.43</v>
      </c>
      <c r="R105" s="11" t="n"/>
      <c r="S105" s="10" t="inlineStr">
        <is>
          <t>✔ ✔ – ✔</t>
        </is>
      </c>
      <c r="T105" s="12" t="inlineStr">
        <is>
          <t>Sheriff OK box checked</t>
        </is>
      </c>
      <c r="U105" s="12" t="inlineStr"/>
      <c r="V105" s="12" t="inlineStr">
        <is>
          <t>OK TO SELL 11/2/26</t>
        </is>
      </c>
      <c r="W105" s="10" t="inlineStr">
        <is>
          <t>White Oak Boro</t>
        </is>
      </c>
      <c r="X105" s="13">
        <f>IFERROR(VLOOKUP(W105,'Transfer Tax'!$A$14:$H$400,8,FALSE),"")</f>
        <v/>
      </c>
      <c r="Y105" s="14" t="n"/>
      <c r="Z105" s="11">
        <f>IF(OR(Y105="",X105=""),"",Y105*'Transfer Tax'!$B$6*X105)</f>
        <v/>
      </c>
      <c r="AA105" s="14" t="n"/>
      <c r="AB105" s="15" t="n"/>
      <c r="AC105" s="14" t="n"/>
      <c r="AD105" s="15" t="n"/>
      <c r="AE105" s="10" t="inlineStr">
        <is>
          <t>2026-10-25</t>
        </is>
      </c>
    </row>
    <row r="106">
      <c r="A106" s="10" t="inlineStr">
        <is>
          <t>66NOV26</t>
        </is>
      </c>
      <c r="B106" s="10" t="inlineStr">
        <is>
          <t>GD-26-005585</t>
        </is>
      </c>
      <c r="C106" s="10" t="inlineStr">
        <is>
          <t>1114 Jane St</t>
        </is>
      </c>
      <c r="D106" s="10" t="inlineStr">
        <is>
          <t>Pittsburgh</t>
        </is>
      </c>
      <c r="E106" s="10" t="inlineStr">
        <is>
          <t>15221</t>
        </is>
      </c>
      <c r="F106" s="10" t="inlineStr">
        <is>
          <t>Wilkinsburg</t>
        </is>
      </c>
      <c r="G106" s="10" t="inlineStr">
        <is>
          <t>233-J-286</t>
        </is>
      </c>
      <c r="H106" s="10" t="inlineStr">
        <is>
          <t>0233-J-00286-0000-00</t>
        </is>
      </c>
      <c r="I106" s="10" t="inlineStr">
        <is>
          <t>Residential / unspecified</t>
        </is>
      </c>
      <c r="J106" s="10" t="inlineStr">
        <is>
          <t>Mortgage foreclosure</t>
        </is>
      </c>
      <c r="K106" s="10" t="inlineStr">
        <is>
          <t>Entity (LLC/LP/Inc)</t>
        </is>
      </c>
      <c r="L106" s="10" t="inlineStr">
        <is>
          <t>Enk Real Estate Investments LLC</t>
        </is>
      </c>
      <c r="M106" s="10" t="inlineStr">
        <is>
          <t>U.S. Bank Trust National Association</t>
        </is>
      </c>
      <c r="N106" s="10" t="inlineStr">
        <is>
          <t>FRIEDMAN VARTOLO LLP</t>
        </is>
      </c>
      <c r="O106" s="11" t="n">
        <v>2522.91</v>
      </c>
      <c r="P106" s="11" t="n"/>
      <c r="Q106" s="11" t="n">
        <v>2522.91</v>
      </c>
      <c r="R106" s="11" t="n"/>
      <c r="S106" s="10" t="inlineStr">
        <is>
          <t>✔ ✔ – ✔</t>
        </is>
      </c>
      <c r="T106" s="12" t="inlineStr">
        <is>
          <t>Sheriff OK box checked</t>
        </is>
      </c>
      <c r="U106" s="12" t="inlineStr"/>
      <c r="V106" s="12" t="inlineStr">
        <is>
          <t>OK TO SELL 11/2/26</t>
        </is>
      </c>
      <c r="W106" s="10" t="inlineStr">
        <is>
          <t>Wilkinsburg Boro</t>
        </is>
      </c>
      <c r="X106" s="13">
        <f>IFERROR(VLOOKUP(W106,'Transfer Tax'!$A$14:$H$400,8,FALSE),"")</f>
        <v/>
      </c>
      <c r="Y106" s="14" t="n"/>
      <c r="Z106" s="11">
        <f>IF(OR(Y106="",X106=""),"",Y106*'Transfer Tax'!$B$6*X106)</f>
        <v/>
      </c>
      <c r="AA106" s="14" t="n"/>
      <c r="AB106" s="15" t="n"/>
      <c r="AC106" s="14" t="n"/>
      <c r="AD106" s="15" t="n"/>
      <c r="AE106" s="10" t="inlineStr">
        <is>
          <t>2026-10-25</t>
        </is>
      </c>
    </row>
    <row r="107">
      <c r="A107" s="10" t="inlineStr">
        <is>
          <t>21JUL26</t>
        </is>
      </c>
      <c r="B107" s="10" t="inlineStr">
        <is>
          <t>GD-23-009938</t>
        </is>
      </c>
      <c r="C107" s="10" t="inlineStr">
        <is>
          <t>1501 Foliage St</t>
        </is>
      </c>
      <c r="D107" s="10" t="inlineStr">
        <is>
          <t>Pittsburgh</t>
        </is>
      </c>
      <c r="E107" s="10" t="inlineStr">
        <is>
          <t>15221</t>
        </is>
      </c>
      <c r="F107" s="10" t="inlineStr">
        <is>
          <t>Wilkinsburg</t>
        </is>
      </c>
      <c r="G107" s="10" t="inlineStr">
        <is>
          <t>232-E-344</t>
        </is>
      </c>
      <c r="H107" s="10" t="inlineStr">
        <is>
          <t>0232-E-00344-0000-00</t>
        </is>
      </c>
      <c r="I107" s="10" t="inlineStr">
        <is>
          <t>Residential / unspecified</t>
        </is>
      </c>
      <c r="J107" s="10" t="inlineStr">
        <is>
          <t>Tax lien (Sci Fa sur tax lien)</t>
        </is>
      </c>
      <c r="K107" s="10" t="inlineStr">
        <is>
          <t>Individual</t>
        </is>
      </c>
      <c r="L107" s="10" t="inlineStr">
        <is>
          <t>Miller, Tamera Monikue</t>
        </is>
      </c>
      <c r="M107" s="10" t="inlineStr">
        <is>
          <t>Wilkinsburg School District</t>
        </is>
      </c>
      <c r="N107" s="10" t="inlineStr">
        <is>
          <t>MAIELLO BRUNGO &amp; MAIELLO</t>
        </is>
      </c>
      <c r="O107" s="11" t="n">
        <v>68659.36</v>
      </c>
      <c r="P107" s="11" t="n">
        <v>6500</v>
      </c>
      <c r="Q107" s="11" t="n">
        <v>6500</v>
      </c>
      <c r="R107" s="11" t="n"/>
      <c r="S107" s="10" t="inlineStr">
        <is>
          <t>✔ ✔ ✔ ✔</t>
        </is>
      </c>
      <c r="T107" s="12" t="inlineStr">
        <is>
          <t>Sheriff OK box checked</t>
        </is>
      </c>
      <c r="U107" s="12" t="inlineStr">
        <is>
          <t>Free &amp; clear court order, min bid $6,500.00
Prior winning bidder forfeited (property re-offered)</t>
        </is>
      </c>
      <c r="V107" s="12" t="inlineStr">
        <is>
          <t>OK TO SELL 11-2-26
FORFEITED 10/5/26
F/C O/C FOR A MIN BID OF $6,500.00</t>
        </is>
      </c>
      <c r="W107" s="10" t="inlineStr">
        <is>
          <t>Wilkinsburg Boro</t>
        </is>
      </c>
      <c r="X107" s="13">
        <f>IFERROR(VLOOKUP(W107,'Transfer Tax'!$A$14:$H$400,8,FALSE),"")</f>
        <v/>
      </c>
      <c r="Y107" s="14" t="n"/>
      <c r="Z107" s="11">
        <f>IF(OR(Y107="",X107=""),"",Y107*'Transfer Tax'!$B$6*X107)</f>
        <v/>
      </c>
      <c r="AA107" s="14" t="n"/>
      <c r="AB107" s="15" t="n"/>
      <c r="AC107" s="14" t="n"/>
      <c r="AD107" s="15" t="n"/>
      <c r="AE107" s="10" t="inlineStr">
        <is>
          <t>2026-10-25</t>
        </is>
      </c>
    </row>
    <row r="108">
      <c r="A108" s="10" t="inlineStr">
        <is>
          <t>112NOV26</t>
        </is>
      </c>
      <c r="B108" s="10" t="inlineStr">
        <is>
          <t>GD-26-005000</t>
        </is>
      </c>
      <c r="C108" s="10" t="inlineStr">
        <is>
          <t>1732-1734 Wright St</t>
        </is>
      </c>
      <c r="D108" s="10" t="inlineStr">
        <is>
          <t>Pittsburgh</t>
        </is>
      </c>
      <c r="E108" s="10" t="inlineStr">
        <is>
          <t>15221</t>
        </is>
      </c>
      <c r="F108" s="10" t="inlineStr">
        <is>
          <t>Wilkinsburg</t>
        </is>
      </c>
      <c r="G108" s="10" t="inlineStr">
        <is>
          <t>297-E-69</t>
        </is>
      </c>
      <c r="H108" s="10" t="inlineStr">
        <is>
          <t>0297-E-00069-0000-00</t>
        </is>
      </c>
      <c r="I108" s="10" t="inlineStr">
        <is>
          <t>Residential / unspecified</t>
        </is>
      </c>
      <c r="J108" s="10" t="inlineStr">
        <is>
          <t>Mortgage foreclosure</t>
        </is>
      </c>
      <c r="K108" s="10" t="inlineStr">
        <is>
          <t>Entity (LLC/LP/Inc)</t>
        </is>
      </c>
      <c r="L108" s="10" t="inlineStr">
        <is>
          <t>Enk Real Estate Investments LLC</t>
        </is>
      </c>
      <c r="M108" s="10" t="inlineStr">
        <is>
          <t>Morgan Stanley Residential Mortgage Loan Trust 2025 NQM5</t>
        </is>
      </c>
      <c r="N108" s="10" t="inlineStr">
        <is>
          <t>FRIEDMAN VARTOLO LLP</t>
        </is>
      </c>
      <c r="O108" s="11" t="n">
        <v>2274.3</v>
      </c>
      <c r="P108" s="11" t="n"/>
      <c r="Q108" s="11" t="n">
        <v>2274.3</v>
      </c>
      <c r="R108" s="11" t="n"/>
      <c r="S108" s="10" t="inlineStr">
        <is>
          <t>✔ ✔ – ✔</t>
        </is>
      </c>
      <c r="T108" s="12" t="inlineStr">
        <is>
          <t>Sheriff OK box checked</t>
        </is>
      </c>
      <c r="U108" s="12" t="inlineStr"/>
      <c r="V108" s="12" t="inlineStr">
        <is>
          <t>OK TO SELL 11/2/26</t>
        </is>
      </c>
      <c r="W108" s="10" t="inlineStr">
        <is>
          <t>Wilkinsburg Boro</t>
        </is>
      </c>
      <c r="X108" s="13">
        <f>IFERROR(VLOOKUP(W108,'Transfer Tax'!$A$14:$H$400,8,FALSE),"")</f>
        <v/>
      </c>
      <c r="Y108" s="14" t="n"/>
      <c r="Z108" s="11">
        <f>IF(OR(Y108="",X108=""),"",Y108*'Transfer Tax'!$B$6*X108)</f>
        <v/>
      </c>
      <c r="AA108" s="14" t="n"/>
      <c r="AB108" s="15" t="n"/>
      <c r="AC108" s="14" t="n"/>
      <c r="AD108" s="15" t="n"/>
      <c r="AE108" s="10" t="inlineStr">
        <is>
          <t>2026-10-25</t>
        </is>
      </c>
    </row>
    <row r="109">
      <c r="A109" s="10" t="inlineStr">
        <is>
          <t>87AUG26</t>
        </is>
      </c>
      <c r="B109" s="10" t="inlineStr">
        <is>
          <t>MG-25-001097</t>
        </is>
      </c>
      <c r="C109" s="10" t="inlineStr">
        <is>
          <t>408 Welsh Avenue</t>
        </is>
      </c>
      <c r="D109" s="10" t="inlineStr">
        <is>
          <t>Wilmerding</t>
        </is>
      </c>
      <c r="E109" s="10" t="inlineStr">
        <is>
          <t>15148</t>
        </is>
      </c>
      <c r="F109" s="10" t="inlineStr">
        <is>
          <t>Wilmerding</t>
        </is>
      </c>
      <c r="G109" s="10" t="inlineStr">
        <is>
          <t>546-F-374</t>
        </is>
      </c>
      <c r="H109" s="10" t="inlineStr">
        <is>
          <t>0546-F-00374-0000-00</t>
        </is>
      </c>
      <c r="I109" s="10" t="inlineStr">
        <is>
          <t>Residential / unspecified</t>
        </is>
      </c>
      <c r="J109" s="10" t="inlineStr">
        <is>
          <t>Mortgage foreclosure</t>
        </is>
      </c>
      <c r="K109" s="10" t="inlineStr">
        <is>
          <t>Individual</t>
        </is>
      </c>
      <c r="L109" s="10" t="inlineStr">
        <is>
          <t>Wise, Heather R.</t>
        </is>
      </c>
      <c r="M109" s="10" t="inlineStr">
        <is>
          <t>JPMorgan Chase Bank National Association</t>
        </is>
      </c>
      <c r="N109" s="10" t="inlineStr">
        <is>
          <t>HILL WALLACK LLP</t>
        </is>
      </c>
      <c r="O109" s="11" t="n">
        <v>5070.58</v>
      </c>
      <c r="P109" s="11" t="n"/>
      <c r="Q109" s="11" t="n">
        <v>5070.58</v>
      </c>
      <c r="R109" s="11" t="n">
        <v>57424.13</v>
      </c>
      <c r="S109" s="10" t="inlineStr">
        <is>
          <t>✔ ✔ ✔ ✔</t>
        </is>
      </c>
      <c r="T109" s="12" t="inlineStr">
        <is>
          <t>Sheriff OK box checked</t>
        </is>
      </c>
      <c r="U109" s="12" t="inlineStr"/>
      <c r="V109" s="12" t="inlineStr">
        <is>
          <t>OK TO SELL 11-2-26
RCVD O/C TO REASSESS DAMAGES $57,424.13</t>
        </is>
      </c>
      <c r="W109" s="10" t="inlineStr">
        <is>
          <t>Wilmerding Boro</t>
        </is>
      </c>
      <c r="X109" s="13">
        <f>IFERROR(VLOOKUP(W109,'Transfer Tax'!$A$14:$H$400,8,FALSE),"")</f>
        <v/>
      </c>
      <c r="Y109" s="14" t="n"/>
      <c r="Z109" s="11">
        <f>IF(OR(Y109="",X109=""),"",Y109*'Transfer Tax'!$B$6*X109)</f>
        <v/>
      </c>
      <c r="AA109" s="14" t="n"/>
      <c r="AB109" s="15" t="n"/>
      <c r="AC109" s="14" t="n"/>
      <c r="AD109" s="15" t="n"/>
      <c r="AE109" s="10" t="inlineStr">
        <is>
          <t>2026-10-25</t>
        </is>
      </c>
    </row>
  </sheetData>
  <autoFilter ref="A4:AE10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E21"/>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10" customWidth="1" min="1" max="1"/>
    <col width="14" customWidth="1" min="2" max="2"/>
    <col width="26" customWidth="1" min="3" max="3"/>
    <col width="14" customWidth="1" min="4" max="4"/>
    <col width="7" customWidth="1" min="5" max="5"/>
    <col width="16" customWidth="1" min="6" max="6"/>
    <col width="16" customWidth="1" min="7" max="7"/>
    <col width="22" customWidth="1" min="8" max="8"/>
    <col width="16" customWidth="1" min="9" max="9"/>
    <col width="20" customWidth="1" min="10" max="10"/>
    <col width="14" customWidth="1" min="11" max="11"/>
    <col width="22" customWidth="1" min="12" max="12"/>
    <col width="22" customWidth="1" min="13" max="13"/>
    <col width="20" customWidth="1" min="14" max="14"/>
    <col width="12" customWidth="1" min="15" max="15"/>
    <col width="12" customWidth="1" min="16" max="16"/>
    <col width="12" customWidth="1" min="17" max="17"/>
    <col width="13" customWidth="1" min="18" max="18"/>
    <col width="14" customWidth="1" min="19" max="19"/>
    <col width="34" customWidth="1" min="20" max="20"/>
    <col width="34" customWidth="1" min="21" max="21"/>
    <col width="44" customWidth="1" min="22" max="22"/>
    <col width="20" customWidth="1" min="23" max="23"/>
    <col width="10" customWidth="1" min="24" max="24"/>
    <col width="13" customWidth="1" min="25" max="25"/>
    <col width="13" customWidth="1" min="26" max="26"/>
    <col width="12" customWidth="1" min="27" max="27"/>
    <col width="30" customWidth="1" min="28" max="28"/>
    <col width="12" customWidth="1" min="29" max="29"/>
    <col width="10" customWidth="1" min="30" max="30"/>
    <col width="11" customWidth="1" min="31" max="31"/>
  </cols>
  <sheetData>
    <row r="1">
      <c r="A1" s="8" t="inlineStr">
        <is>
          <t>Almost Ready — Mon Nov 2</t>
        </is>
      </c>
    </row>
    <row r="2">
      <c r="A2" s="2" t="inlineStr">
        <is>
          <t>Active residential cases where Service and 3129.2 are done and only Rule 3129.3 is still needed (often filed at the last minute), plus VERIFY cases where the OK box and notes disagree.</t>
        </is>
      </c>
    </row>
    <row r="4" ht="42" customHeight="1">
      <c r="A4" s="6" t="inlineStr">
        <is>
          <t>Sale ID</t>
        </is>
      </c>
      <c r="B4" s="6" t="inlineStr">
        <is>
          <t>Case #</t>
        </is>
      </c>
      <c r="C4" s="6" t="inlineStr">
        <is>
          <t>Property address</t>
        </is>
      </c>
      <c r="D4" s="6" t="inlineStr">
        <is>
          <t>City</t>
        </is>
      </c>
      <c r="E4" s="6" t="inlineStr">
        <is>
          <t>ZIP</t>
        </is>
      </c>
      <c r="F4" s="6" t="inlineStr">
        <is>
          <t>Municipality</t>
        </is>
      </c>
      <c r="G4" s="6" t="inlineStr">
        <is>
          <t>Parcel ID(s)</t>
        </is>
      </c>
      <c r="H4" s="6" t="inlineStr">
        <is>
          <t>County parcel ID (portal format)</t>
        </is>
      </c>
      <c r="I4" s="6" t="inlineStr">
        <is>
          <t>Property type</t>
        </is>
      </c>
      <c r="J4" s="6" t="inlineStr">
        <is>
          <t>Sale category</t>
        </is>
      </c>
      <c r="K4" s="6" t="inlineStr">
        <is>
          <t>Owner type</t>
        </is>
      </c>
      <c r="L4" s="6" t="inlineStr">
        <is>
          <t>Defendant / owner</t>
        </is>
      </c>
      <c r="M4" s="6" t="inlineStr">
        <is>
          <t>Plaintiff</t>
        </is>
      </c>
      <c r="N4" s="6" t="inlineStr">
        <is>
          <t>Plaintiff attorney</t>
        </is>
      </c>
      <c r="O4" s="6" t="inlineStr">
        <is>
          <t>Cost &amp; Tax bid</t>
        </is>
      </c>
      <c r="P4" s="6" t="inlineStr">
        <is>
          <t>Free &amp; clear min bid</t>
        </is>
      </c>
      <c r="Q4" s="6" t="inlineStr">
        <is>
          <t>Opening bid to watch</t>
        </is>
      </c>
      <c r="R4" s="6" t="inlineStr">
        <is>
          <t>Reassessed damages (judgment)</t>
        </is>
      </c>
      <c r="S4" s="6" t="inlineStr">
        <is>
          <t>Boxes  Svs · 3129.2 · 3129.3 · OK</t>
        </is>
      </c>
      <c r="T4" s="6" t="inlineStr">
        <is>
          <t>What's still missing</t>
        </is>
      </c>
      <c r="U4" s="6" t="inlineStr">
        <is>
          <t>Flags / title &amp; bidding risks</t>
        </is>
      </c>
      <c r="V4" s="6" t="inlineStr">
        <is>
          <t>Sheriff comments (verbatim)</t>
        </is>
      </c>
      <c r="W4" s="6" t="inlineStr">
        <is>
          <t>Transfer tax municipality</t>
        </is>
      </c>
      <c r="X4" s="6" t="inlineStr">
        <is>
          <t>Transfer tax rate (total)</t>
        </is>
      </c>
      <c r="Y4" s="9" t="inlineStr">
        <is>
          <t>YOUR ENTRY: Assessed value</t>
        </is>
      </c>
      <c r="Z4" s="6" t="inlineStr">
        <is>
          <t>Est. transfer tax on sheriff deed</t>
        </is>
      </c>
      <c r="AA4" s="9" t="inlineStr">
        <is>
          <t>YOUR ENTRY: Max bid</t>
        </is>
      </c>
      <c r="AB4" s="9" t="inlineStr">
        <is>
          <t>YOUR ENTRY: My notes</t>
        </is>
      </c>
      <c r="AC4" s="9" t="inlineStr">
        <is>
          <t>YOUR ENTRY: Sold for</t>
        </is>
      </c>
      <c r="AD4" s="9" t="inlineStr">
        <is>
          <t>YOUR ENTRY: Bidder #</t>
        </is>
      </c>
      <c r="AE4" s="6" t="inlineStr">
        <is>
          <t>First listed here</t>
        </is>
      </c>
    </row>
    <row r="5">
      <c r="A5" s="10" t="inlineStr">
        <is>
          <t>1SEP26</t>
        </is>
      </c>
      <c r="B5" s="10" t="inlineStr">
        <is>
          <t>GD-22-008550</t>
        </is>
      </c>
      <c r="C5" s="10" t="inlineStr">
        <is>
          <t>221 Walnut St</t>
        </is>
      </c>
      <c r="D5" s="10" t="inlineStr">
        <is>
          <t>Pittsburgh</t>
        </is>
      </c>
      <c r="E5" s="10" t="inlineStr">
        <is>
          <t>15238</t>
        </is>
      </c>
      <c r="F5" s="10" t="inlineStr">
        <is>
          <t>Blawnox</t>
        </is>
      </c>
      <c r="G5" s="10" t="inlineStr">
        <is>
          <t>292-N-392</t>
        </is>
      </c>
      <c r="H5" s="10" t="inlineStr">
        <is>
          <t>0292-N-00392-0000-00</t>
        </is>
      </c>
      <c r="I5" s="10" t="inlineStr">
        <is>
          <t>Residential / unspecified</t>
        </is>
      </c>
      <c r="J5" s="10" t="inlineStr">
        <is>
          <t>Tax lien (Sci Fa sur tax lien)</t>
        </is>
      </c>
      <c r="K5" s="10" t="inlineStr">
        <is>
          <t>Individual</t>
        </is>
      </c>
      <c r="L5" s="10" t="inlineStr">
        <is>
          <t>RABINOWITZ, JACK</t>
        </is>
      </c>
      <c r="M5" s="10" t="inlineStr">
        <is>
          <t>Blawnox Borough</t>
        </is>
      </c>
      <c r="N5" s="10" t="inlineStr">
        <is>
          <t>KRATZENBERG &amp; LAZZARO</t>
        </is>
      </c>
      <c r="O5" s="11" t="n">
        <v>36807.63</v>
      </c>
      <c r="P5" s="11" t="n"/>
      <c r="Q5" s="11" t="n">
        <v>36807.63</v>
      </c>
      <c r="R5" s="11" t="n"/>
      <c r="S5" s="10" t="inlineStr">
        <is>
          <t>✔ ✔ – –</t>
        </is>
      </c>
      <c r="T5" s="12" t="inlineStr">
        <is>
          <t>Only Rule 3129.3 outstanding
• Rule 3129.3 notice of postponed sale date (for 11/2/26)</t>
        </is>
      </c>
      <c r="U5" s="12" t="inlineStr"/>
      <c r="V5" s="12" t="inlineStr">
        <is>
          <t>NEED 3129.3 FOR 11-2-26</t>
        </is>
      </c>
      <c r="W5" s="10" t="inlineStr">
        <is>
          <t>Blawnox Boro</t>
        </is>
      </c>
      <c r="X5" s="13">
        <f>IFERROR(VLOOKUP(W5,'Transfer Tax'!$A$14:$H$400,8,FALSE),"")</f>
        <v/>
      </c>
      <c r="Y5" s="14" t="n"/>
      <c r="Z5" s="11">
        <f>IF(OR(Y5="",X5=""),"",Y5*'Transfer Tax'!$B$6*X5)</f>
        <v/>
      </c>
      <c r="AA5" s="14" t="n"/>
      <c r="AB5" s="15" t="n"/>
      <c r="AC5" s="14" t="n"/>
      <c r="AD5" s="15" t="n"/>
      <c r="AE5" s="10" t="inlineStr">
        <is>
          <t>2026-10-25</t>
        </is>
      </c>
    </row>
    <row r="6">
      <c r="A6" s="10" t="inlineStr">
        <is>
          <t>62JAN26</t>
        </is>
      </c>
      <c r="B6" s="10" t="inlineStr">
        <is>
          <t>GD-25-003317</t>
        </is>
      </c>
      <c r="C6" s="10" t="inlineStr">
        <is>
          <t>2086 Smithdale Rd</t>
        </is>
      </c>
      <c r="D6" s="10" t="inlineStr">
        <is>
          <t>West Newton</t>
        </is>
      </c>
      <c r="E6" s="10" t="inlineStr">
        <is>
          <t>15089</t>
        </is>
      </c>
      <c r="F6" s="10" t="inlineStr">
        <is>
          <t>Elizabeth Twp</t>
        </is>
      </c>
      <c r="G6" s="10" t="inlineStr">
        <is>
          <t>1732-S-226</t>
        </is>
      </c>
      <c r="H6" s="10" t="inlineStr">
        <is>
          <t>1732-S-00226-0000-00</t>
        </is>
      </c>
      <c r="I6" s="10" t="inlineStr">
        <is>
          <t>Residential / unspecified</t>
        </is>
      </c>
      <c r="J6" s="10" t="inlineStr">
        <is>
          <t>Tax lien (Sci Fa sur tax lien)</t>
        </is>
      </c>
      <c r="K6" s="10" t="inlineStr">
        <is>
          <t>Estate / heirs / trust</t>
        </is>
      </c>
      <c r="L6" s="10" t="inlineStr">
        <is>
          <t>Unknown Heirs of Urcell Nicholson aka Vienna Ercel Nicholson</t>
        </is>
      </c>
      <c r="M6" s="10" t="inlineStr">
        <is>
          <t>Elizabeth Forward School District</t>
        </is>
      </c>
      <c r="N6" s="10" t="inlineStr">
        <is>
          <t>MAIELLO BRUNGO &amp; MAIELLO</t>
        </is>
      </c>
      <c r="O6" s="11" t="n">
        <v>15431.56</v>
      </c>
      <c r="P6" s="11" t="n"/>
      <c r="Q6" s="11" t="n">
        <v>15431.56</v>
      </c>
      <c r="R6" s="11" t="n"/>
      <c r="S6" s="10" t="inlineStr">
        <is>
          <t>✔ ✔ – –</t>
        </is>
      </c>
      <c r="T6" s="12" t="inlineStr">
        <is>
          <t>Only Rule 3129.3 outstanding
• Rule 3129.3 notice of postponed sale date (for 11/2/26)</t>
        </is>
      </c>
      <c r="U6" s="12" t="inlineStr"/>
      <c r="V6" s="12" t="inlineStr">
        <is>
          <t>NEED 3129.3 FOR 11-2-26</t>
        </is>
      </c>
      <c r="W6" s="10" t="inlineStr">
        <is>
          <t>Elizabeth Twp</t>
        </is>
      </c>
      <c r="X6" s="13">
        <f>IFERROR(VLOOKUP(W6,'Transfer Tax'!$A$14:$H$400,8,FALSE),"")</f>
        <v/>
      </c>
      <c r="Y6" s="14" t="n"/>
      <c r="Z6" s="11">
        <f>IF(OR(Y6="",X6=""),"",Y6*'Transfer Tax'!$B$6*X6)</f>
        <v/>
      </c>
      <c r="AA6" s="14" t="n"/>
      <c r="AB6" s="15" t="n"/>
      <c r="AC6" s="14" t="n"/>
      <c r="AD6" s="15" t="n"/>
      <c r="AE6" s="10" t="inlineStr">
        <is>
          <t>2026-10-25</t>
        </is>
      </c>
    </row>
    <row r="7">
      <c r="A7" s="10" t="inlineStr">
        <is>
          <t>4SEP26</t>
        </is>
      </c>
      <c r="B7" s="10" t="inlineStr">
        <is>
          <t>GD-24-011990</t>
        </is>
      </c>
      <c r="C7" s="10" t="inlineStr">
        <is>
          <t>1615 Sumac St</t>
        </is>
      </c>
      <c r="D7" s="10" t="inlineStr">
        <is>
          <t>Mc Keesport</t>
        </is>
      </c>
      <c r="E7" s="10" t="inlineStr">
        <is>
          <t>15132</t>
        </is>
      </c>
      <c r="F7" s="10" t="inlineStr">
        <is>
          <t>McKeesport</t>
        </is>
      </c>
      <c r="G7" s="10" t="inlineStr">
        <is>
          <t>381-G-63</t>
        </is>
      </c>
      <c r="H7" s="10" t="inlineStr">
        <is>
          <t>0381-G-00063-0000-00</t>
        </is>
      </c>
      <c r="I7" s="10" t="inlineStr">
        <is>
          <t>Residential / unspecified</t>
        </is>
      </c>
      <c r="J7" s="10" t="inlineStr">
        <is>
          <t>Tax lien (Sci Fa sur tax lien)</t>
        </is>
      </c>
      <c r="K7" s="10" t="inlineStr">
        <is>
          <t>Entity (LLC/LP/Inc)</t>
        </is>
      </c>
      <c r="L7" s="10" t="inlineStr">
        <is>
          <t>Next Level Development LLC</t>
        </is>
      </c>
      <c r="M7" s="10" t="inlineStr">
        <is>
          <t>City of McKeesport</t>
        </is>
      </c>
      <c r="N7" s="10" t="inlineStr">
        <is>
          <t>KRATZENBERG &amp; LAZZARO</t>
        </is>
      </c>
      <c r="O7" s="11" t="n">
        <v>44590.13</v>
      </c>
      <c r="P7" s="11" t="n"/>
      <c r="Q7" s="11" t="n">
        <v>44590.13</v>
      </c>
      <c r="R7" s="11" t="n"/>
      <c r="S7" s="10" t="inlineStr">
        <is>
          <t>✔ ✔ – –</t>
        </is>
      </c>
      <c r="T7" s="12" t="inlineStr">
        <is>
          <t>Only Rule 3129.3 outstanding
• Rule 3129.3 notice of postponed sale date (for 11/2/26)</t>
        </is>
      </c>
      <c r="U7" s="12" t="inlineStr"/>
      <c r="V7" s="12" t="inlineStr">
        <is>
          <t>NEED 3129.3 FOR 11-2-26</t>
        </is>
      </c>
      <c r="W7" s="10" t="inlineStr">
        <is>
          <t>McKeesport City</t>
        </is>
      </c>
      <c r="X7" s="13">
        <f>IFERROR(VLOOKUP(W7,'Transfer Tax'!$A$14:$H$400,8,FALSE),"")</f>
        <v/>
      </c>
      <c r="Y7" s="14" t="n"/>
      <c r="Z7" s="11">
        <f>IF(OR(Y7="",X7=""),"",Y7*'Transfer Tax'!$B$6*X7)</f>
        <v/>
      </c>
      <c r="AA7" s="14" t="n"/>
      <c r="AB7" s="15" t="n"/>
      <c r="AC7" s="14" t="n"/>
      <c r="AD7" s="15" t="n"/>
      <c r="AE7" s="10" t="inlineStr">
        <is>
          <t>2026-10-25</t>
        </is>
      </c>
    </row>
    <row r="8">
      <c r="A8" s="10" t="inlineStr">
        <is>
          <t>29OCT26</t>
        </is>
      </c>
      <c r="B8" s="10" t="inlineStr">
        <is>
          <t>MG-26-000156</t>
        </is>
      </c>
      <c r="C8" s="10" t="inlineStr">
        <is>
          <t>2417 Riverview St</t>
        </is>
      </c>
      <c r="D8" s="10" t="inlineStr">
        <is>
          <t>Mc Keesport</t>
        </is>
      </c>
      <c r="E8" s="10" t="inlineStr">
        <is>
          <t>15132</t>
        </is>
      </c>
      <c r="F8" s="10" t="inlineStr">
        <is>
          <t>McKeesport</t>
        </is>
      </c>
      <c r="G8" s="10" t="inlineStr">
        <is>
          <t>381-N-103</t>
        </is>
      </c>
      <c r="H8" s="10" t="inlineStr">
        <is>
          <t>0381-N-00103-0000-00</t>
        </is>
      </c>
      <c r="I8" s="10" t="inlineStr">
        <is>
          <t>Residential / unspecified</t>
        </is>
      </c>
      <c r="J8" s="10" t="inlineStr">
        <is>
          <t>Mortgage foreclosure</t>
        </is>
      </c>
      <c r="K8" s="10" t="inlineStr">
        <is>
          <t>Entity (LLC/LP/Inc)</t>
        </is>
      </c>
      <c r="L8" s="10" t="inlineStr">
        <is>
          <t>Pittsburg Luxe LLC</t>
        </is>
      </c>
      <c r="M8" s="10" t="inlineStr">
        <is>
          <t>Wilmington Savings Fund Society FSB</t>
        </is>
      </c>
      <c r="N8" s="10" t="inlineStr">
        <is>
          <t>FRIEDMAN VARTOLO LLP</t>
        </is>
      </c>
      <c r="O8" s="11" t="n">
        <v>2965.14</v>
      </c>
      <c r="P8" s="11" t="n"/>
      <c r="Q8" s="11" t="n">
        <v>2965.14</v>
      </c>
      <c r="R8" s="11" t="n"/>
      <c r="S8" s="10" t="inlineStr">
        <is>
          <t>✔ ✔ – –</t>
        </is>
      </c>
      <c r="T8" s="12" t="inlineStr">
        <is>
          <t>Only Rule 3129.3 outstanding
• Rule 3129.3 notice of postponed sale date (for 11/2/26)</t>
        </is>
      </c>
      <c r="U8" s="12" t="inlineStr"/>
      <c r="V8" s="12" t="inlineStr">
        <is>
          <t>NEED 3129.3 FOR 11-2-26</t>
        </is>
      </c>
      <c r="W8" s="10" t="inlineStr">
        <is>
          <t>McKeesport City</t>
        </is>
      </c>
      <c r="X8" s="13">
        <f>IFERROR(VLOOKUP(W8,'Transfer Tax'!$A$14:$H$400,8,FALSE),"")</f>
        <v/>
      </c>
      <c r="Y8" s="14" t="n"/>
      <c r="Z8" s="11">
        <f>IF(OR(Y8="",X8=""),"",Y8*'Transfer Tax'!$B$6*X8)</f>
        <v/>
      </c>
      <c r="AA8" s="14" t="n"/>
      <c r="AB8" s="15" t="n"/>
      <c r="AC8" s="14" t="n"/>
      <c r="AD8" s="15" t="n"/>
      <c r="AE8" s="10" t="inlineStr">
        <is>
          <t>2026-10-25</t>
        </is>
      </c>
    </row>
    <row r="9">
      <c r="A9" s="10" t="inlineStr">
        <is>
          <t>46JUL26</t>
        </is>
      </c>
      <c r="B9" s="10" t="inlineStr">
        <is>
          <t>MG-26-000026</t>
        </is>
      </c>
      <c r="C9" s="10" t="inlineStr">
        <is>
          <t>1303 Craigview Drive</t>
        </is>
      </c>
      <c r="D9" s="10" t="inlineStr">
        <is>
          <t>Pittsburgh</t>
        </is>
      </c>
      <c r="E9" s="10" t="inlineStr">
        <is>
          <t>15243</t>
        </is>
      </c>
      <c r="F9" s="10" t="inlineStr">
        <is>
          <t>Mount Lebanon</t>
        </is>
      </c>
      <c r="G9" s="10" t="inlineStr">
        <is>
          <t>194-C-131</t>
        </is>
      </c>
      <c r="H9" s="10" t="inlineStr">
        <is>
          <t>0194-C-00131-0000-00</t>
        </is>
      </c>
      <c r="I9" s="10" t="inlineStr">
        <is>
          <t>Residential / unspecified</t>
        </is>
      </c>
      <c r="J9" s="10" t="inlineStr">
        <is>
          <t>Mortgage foreclosure</t>
        </is>
      </c>
      <c r="K9" s="10" t="inlineStr">
        <is>
          <t>Individual</t>
        </is>
      </c>
      <c r="L9" s="10" t="inlineStr">
        <is>
          <t>Whaley, Martin G.</t>
        </is>
      </c>
      <c r="M9" s="10" t="inlineStr">
        <is>
          <t>Wells Fargo Bank National Association</t>
        </is>
      </c>
      <c r="N9" s="10" t="inlineStr">
        <is>
          <t>McCalla Raymer Leibert Pierce LLC</t>
        </is>
      </c>
      <c r="O9" s="11" t="n">
        <v>30650.91</v>
      </c>
      <c r="P9" s="11" t="n"/>
      <c r="Q9" s="11" t="n">
        <v>30650.91</v>
      </c>
      <c r="R9" s="11" t="n"/>
      <c r="S9" s="10" t="inlineStr">
        <is>
          <t>✔ ✔ – –</t>
        </is>
      </c>
      <c r="T9" s="12" t="inlineStr">
        <is>
          <t>Only Rule 3129.3 outstanding
• Rule 3129.3 notice of postponed sale date – filed copy rejected, must be re-filed</t>
        </is>
      </c>
      <c r="U9" s="12" t="inlineStr">
        <is>
          <t>Save Your Home program involvement</t>
        </is>
      </c>
      <c r="V9" s="12" t="inlineStr">
        <is>
          <t>CANNOT GO TO SALE ON 11-2-26 CONCILIATION CONFERENCE RESCHEDULED TO 10-23-26
PP TO 10/5/26 FOR DEF TO APPLY FOR THE SAVE YOUR HOME PROGRAM
3129.3 NOT ACCEPTED NEEDS TO HAVE ATTORNEY SIGNATURE AND CONTACT INFORMATION ON EVERY DOCUMENT</t>
        </is>
      </c>
      <c r="W9" s="10" t="inlineStr">
        <is>
          <t>Mount Lebanon Municipality</t>
        </is>
      </c>
      <c r="X9" s="13">
        <f>IFERROR(VLOOKUP(W9,'Transfer Tax'!$A$14:$H$400,8,FALSE),"")</f>
        <v/>
      </c>
      <c r="Y9" s="14" t="n"/>
      <c r="Z9" s="11">
        <f>IF(OR(Y9="",X9=""),"",Y9*'Transfer Tax'!$B$6*X9)</f>
        <v/>
      </c>
      <c r="AA9" s="14" t="n"/>
      <c r="AB9" s="15" t="n"/>
      <c r="AC9" s="14" t="n"/>
      <c r="AD9" s="15" t="n"/>
      <c r="AE9" s="10" t="inlineStr">
        <is>
          <t>2026-10-25</t>
        </is>
      </c>
    </row>
    <row r="10">
      <c r="A10" s="10" t="inlineStr">
        <is>
          <t>5OCT26</t>
        </is>
      </c>
      <c r="B10" s="10" t="inlineStr">
        <is>
          <t>GD-25-013736</t>
        </is>
      </c>
      <c r="C10" s="10" t="inlineStr">
        <is>
          <t>950 Margaretta Ave</t>
        </is>
      </c>
      <c r="D10" s="10" t="inlineStr">
        <is>
          <t>Pittsburgh</t>
        </is>
      </c>
      <c r="E10" s="10" t="inlineStr">
        <is>
          <t>15234</t>
        </is>
      </c>
      <c r="F10" s="10" t="inlineStr">
        <is>
          <t>Mount Lebanon</t>
        </is>
      </c>
      <c r="G10" s="10" t="inlineStr">
        <is>
          <t>250-E-234</t>
        </is>
      </c>
      <c r="H10" s="10" t="inlineStr">
        <is>
          <t>0250-E-00234-0000-00</t>
        </is>
      </c>
      <c r="I10" s="10" t="inlineStr">
        <is>
          <t>Residential / unspecified</t>
        </is>
      </c>
      <c r="J10" s="10" t="inlineStr">
        <is>
          <t>Tax lien (Sci Fa sur tax lien)</t>
        </is>
      </c>
      <c r="K10" s="10" t="inlineStr">
        <is>
          <t>Individual</t>
        </is>
      </c>
      <c r="L10" s="10" t="inlineStr">
        <is>
          <t>Edwards Realty &amp; Associates L.P.</t>
        </is>
      </c>
      <c r="M10" s="10" t="inlineStr">
        <is>
          <t>Mt. Lebanon School District</t>
        </is>
      </c>
      <c r="N10" s="10" t="inlineStr">
        <is>
          <t>WEISS BURKARDT KRAMER LLC</t>
        </is>
      </c>
      <c r="O10" s="11" t="n">
        <v>36309.45</v>
      </c>
      <c r="P10" s="11" t="n"/>
      <c r="Q10" s="11" t="n">
        <v>36309.45</v>
      </c>
      <c r="R10" s="11" t="n"/>
      <c r="S10" s="10" t="inlineStr">
        <is>
          <t>✔ ✔ – –</t>
        </is>
      </c>
      <c r="T10" s="12" t="inlineStr">
        <is>
          <t>Only Rule 3129.3 outstanding
• Rule 3129.3 notice of postponed sale date (for 11/2/26)</t>
        </is>
      </c>
      <c r="U10" s="12" t="inlineStr"/>
      <c r="V10" s="12" t="inlineStr">
        <is>
          <t>NEED 3129.3 FOR 11-2-26</t>
        </is>
      </c>
      <c r="W10" s="10" t="inlineStr">
        <is>
          <t>Mount Lebanon Municipality</t>
        </is>
      </c>
      <c r="X10" s="13">
        <f>IFERROR(VLOOKUP(W10,'Transfer Tax'!$A$14:$H$400,8,FALSE),"")</f>
        <v/>
      </c>
      <c r="Y10" s="14" t="n"/>
      <c r="Z10" s="11">
        <f>IF(OR(Y10="",X10=""),"",Y10*'Transfer Tax'!$B$6*X10)</f>
        <v/>
      </c>
      <c r="AA10" s="14" t="n"/>
      <c r="AB10" s="15" t="n"/>
      <c r="AC10" s="14" t="n"/>
      <c r="AD10" s="15" t="n"/>
      <c r="AE10" s="10" t="inlineStr">
        <is>
          <t>2026-10-25</t>
        </is>
      </c>
    </row>
    <row r="11">
      <c r="A11" s="10" t="inlineStr">
        <is>
          <t>3AUG26</t>
        </is>
      </c>
      <c r="B11" s="10" t="inlineStr">
        <is>
          <t>GD-24-014344</t>
        </is>
      </c>
      <c r="C11" s="10" t="inlineStr">
        <is>
          <t>2429 Perry St</t>
        </is>
      </c>
      <c r="D11" s="10" t="inlineStr">
        <is>
          <t>Homestead</t>
        </is>
      </c>
      <c r="E11" s="10" t="inlineStr">
        <is>
          <t>15120</t>
        </is>
      </c>
      <c r="F11" s="10" t="inlineStr">
        <is>
          <t>Munhall</t>
        </is>
      </c>
      <c r="G11" s="10" t="inlineStr">
        <is>
          <t>181-A-218</t>
        </is>
      </c>
      <c r="H11" s="10" t="inlineStr">
        <is>
          <t>0181-A-00218-0000-00</t>
        </is>
      </c>
      <c r="I11" s="10" t="inlineStr">
        <is>
          <t>Residential / unspecified</t>
        </is>
      </c>
      <c r="J11" s="10" t="inlineStr">
        <is>
          <t>Mortgage foreclosure</t>
        </is>
      </c>
      <c r="K11" s="10" t="inlineStr">
        <is>
          <t>Entity (LLC/LP/Inc)</t>
        </is>
      </c>
      <c r="L11" s="10" t="inlineStr">
        <is>
          <t>2429 Perry St. LLC</t>
        </is>
      </c>
      <c r="M11" s="10" t="inlineStr">
        <is>
          <t>U.S. Bank Trust National Association</t>
        </is>
      </c>
      <c r="N11" s="10" t="inlineStr">
        <is>
          <t>ORLANS PC</t>
        </is>
      </c>
      <c r="O11" s="11" t="n">
        <v>6653.5</v>
      </c>
      <c r="P11" s="11" t="n"/>
      <c r="Q11" s="11" t="n">
        <v>6653.5</v>
      </c>
      <c r="R11" s="11" t="n">
        <v>219281.18</v>
      </c>
      <c r="S11" s="10" t="inlineStr">
        <is>
          <t>✔ ✔ – –</t>
        </is>
      </c>
      <c r="T11" s="12" t="inlineStr">
        <is>
          <t>Only Rule 3129.3 outstanding
• Rule 3129.3 notice of postponed sale date (for 11/2/26)</t>
        </is>
      </c>
      <c r="U11" s="12" t="inlineStr"/>
      <c r="V11" s="12" t="inlineStr">
        <is>
          <t>RCVD O/C TO REASSESS DAMAGES $219,281.18 ON 6/24/26
NEED 3129.3 FOR 11-2-26</t>
        </is>
      </c>
      <c r="W11" s="10" t="inlineStr">
        <is>
          <t>Munhall Boro</t>
        </is>
      </c>
      <c r="X11" s="13">
        <f>IFERROR(VLOOKUP(W11,'Transfer Tax'!$A$14:$H$400,8,FALSE),"")</f>
        <v/>
      </c>
      <c r="Y11" s="14" t="n"/>
      <c r="Z11" s="11">
        <f>IF(OR(Y11="",X11=""),"",Y11*'Transfer Tax'!$B$6*X11)</f>
        <v/>
      </c>
      <c r="AA11" s="14" t="n"/>
      <c r="AB11" s="15" t="n"/>
      <c r="AC11" s="14" t="n"/>
      <c r="AD11" s="15" t="n"/>
      <c r="AE11" s="10" t="inlineStr">
        <is>
          <t>2026-10-25</t>
        </is>
      </c>
    </row>
    <row r="12">
      <c r="A12" s="10" t="inlineStr">
        <is>
          <t>106MAR26</t>
        </is>
      </c>
      <c r="B12" s="10" t="inlineStr">
        <is>
          <t>GD-24-010373</t>
        </is>
      </c>
      <c r="C12" s="10" t="inlineStr">
        <is>
          <t>606 E 14th Ave</t>
        </is>
      </c>
      <c r="D12" s="10" t="inlineStr">
        <is>
          <t>Homestead</t>
        </is>
      </c>
      <c r="E12" s="10" t="inlineStr">
        <is>
          <t>15120</t>
        </is>
      </c>
      <c r="F12" s="10" t="inlineStr">
        <is>
          <t>Munhall</t>
        </is>
      </c>
      <c r="G12" s="10" t="inlineStr">
        <is>
          <t>130-S-267</t>
        </is>
      </c>
      <c r="H12" s="10" t="inlineStr">
        <is>
          <t>0130-S-00267-0000-00</t>
        </is>
      </c>
      <c r="I12" s="10" t="inlineStr">
        <is>
          <t>Residential / unspecified</t>
        </is>
      </c>
      <c r="J12" s="10" t="inlineStr">
        <is>
          <t>Tax lien (Sci Fa sur tax lien)</t>
        </is>
      </c>
      <c r="K12" s="10" t="inlineStr">
        <is>
          <t>Individual</t>
        </is>
      </c>
      <c r="L12" s="10" t="inlineStr">
        <is>
          <t>Pacelli, Jeanine A.</t>
        </is>
      </c>
      <c r="M12" s="10" t="inlineStr">
        <is>
          <t>Borough of Munhall</t>
        </is>
      </c>
      <c r="N12" s="10" t="inlineStr">
        <is>
          <t>LEGAL TAX SERVICE</t>
        </is>
      </c>
      <c r="O12" s="11" t="n">
        <v>65577.98</v>
      </c>
      <c r="P12" s="11" t="n"/>
      <c r="Q12" s="11" t="n">
        <v>65577.98</v>
      </c>
      <c r="R12" s="11" t="n"/>
      <c r="S12" s="10" t="inlineStr">
        <is>
          <t>✔ ✔ ✔ –</t>
        </is>
      </c>
      <c r="T12" s="16" t="inlineStr">
        <is>
          <t>VERIFY – Service/3129.2/3129.3 checked, OK not yet checked, no items listed</t>
        </is>
      </c>
      <c r="U12" s="12" t="inlineStr"/>
      <c r="V12" s="12" t="inlineStr"/>
      <c r="W12" s="10" t="inlineStr">
        <is>
          <t>Munhall Boro</t>
        </is>
      </c>
      <c r="X12" s="13">
        <f>IFERROR(VLOOKUP(W12,'Transfer Tax'!$A$14:$H$400,8,FALSE),"")</f>
        <v/>
      </c>
      <c r="Y12" s="14" t="n"/>
      <c r="Z12" s="11">
        <f>IF(OR(Y12="",X12=""),"",Y12*'Transfer Tax'!$B$6*X12)</f>
        <v/>
      </c>
      <c r="AA12" s="14" t="n"/>
      <c r="AB12" s="15" t="n"/>
      <c r="AC12" s="14" t="n"/>
      <c r="AD12" s="15" t="n"/>
      <c r="AE12" s="10" t="inlineStr">
        <is>
          <t>2026-10-25</t>
        </is>
      </c>
    </row>
    <row r="13">
      <c r="A13" s="10" t="inlineStr">
        <is>
          <t>47SEP26</t>
        </is>
      </c>
      <c r="B13" s="10" t="inlineStr">
        <is>
          <t>GD-22-012990</t>
        </is>
      </c>
      <c r="C13" s="10" t="inlineStr">
        <is>
          <t>618 East 9th Avenue</t>
        </is>
      </c>
      <c r="D13" s="10" t="inlineStr">
        <is>
          <t>Homestead</t>
        </is>
      </c>
      <c r="E13" s="10" t="inlineStr">
        <is>
          <t>15120</t>
        </is>
      </c>
      <c r="F13" s="10" t="inlineStr">
        <is>
          <t>Munhall</t>
        </is>
      </c>
      <c r="G13" s="10" t="inlineStr">
        <is>
          <t>130-M-143</t>
        </is>
      </c>
      <c r="H13" s="10" t="inlineStr">
        <is>
          <t>0130-M-00143-0000-00</t>
        </is>
      </c>
      <c r="I13" s="10" t="inlineStr">
        <is>
          <t>Residential / unspecified</t>
        </is>
      </c>
      <c r="J13" s="10" t="inlineStr">
        <is>
          <t>Tax lien (Sci Fa sur tax lien)</t>
        </is>
      </c>
      <c r="K13" s="10" t="inlineStr">
        <is>
          <t>Individual</t>
        </is>
      </c>
      <c r="L13" s="10" t="inlineStr">
        <is>
          <t>Green, Sharifa B.</t>
        </is>
      </c>
      <c r="M13" s="10" t="inlineStr">
        <is>
          <t>Munhall Borough</t>
        </is>
      </c>
      <c r="N13" s="10" t="inlineStr">
        <is>
          <t>LEGAL TAX SERVICE</t>
        </is>
      </c>
      <c r="O13" s="11" t="n">
        <v>8596.799999999999</v>
      </c>
      <c r="P13" s="11" t="n"/>
      <c r="Q13" s="11" t="n">
        <v>8596.799999999999</v>
      </c>
      <c r="R13" s="11" t="n"/>
      <c r="S13" s="10" t="inlineStr">
        <is>
          <t>✔ ✔ – –</t>
        </is>
      </c>
      <c r="T13" s="12" t="inlineStr">
        <is>
          <t>Only Rule 3129.3 outstanding
• Rule 3129.3 notice of postponed sale date (for 11/2/26)</t>
        </is>
      </c>
      <c r="U13" s="12" t="inlineStr"/>
      <c r="V13" s="12" t="inlineStr">
        <is>
          <t>NEED 3129.3 FOR 11-2-26</t>
        </is>
      </c>
      <c r="W13" s="10" t="inlineStr">
        <is>
          <t>Munhall Boro</t>
        </is>
      </c>
      <c r="X13" s="13">
        <f>IFERROR(VLOOKUP(W13,'Transfer Tax'!$A$14:$H$400,8,FALSE),"")</f>
        <v/>
      </c>
      <c r="Y13" s="14" t="n"/>
      <c r="Z13" s="11">
        <f>IF(OR(Y13="",X13=""),"",Y13*'Transfer Tax'!$B$6*X13)</f>
        <v/>
      </c>
      <c r="AA13" s="14" t="n"/>
      <c r="AB13" s="15" t="n"/>
      <c r="AC13" s="14" t="n"/>
      <c r="AD13" s="15" t="n"/>
      <c r="AE13" s="10" t="inlineStr">
        <is>
          <t>2026-10-25</t>
        </is>
      </c>
    </row>
    <row r="14">
      <c r="A14" s="10" t="inlineStr">
        <is>
          <t>3SEP26</t>
        </is>
      </c>
      <c r="B14" s="10" t="inlineStr">
        <is>
          <t>GD-24-004175</t>
        </is>
      </c>
      <c r="C14" s="10" t="inlineStr">
        <is>
          <t>14 Greenwich Court</t>
        </is>
      </c>
      <c r="D14" s="10" t="inlineStr">
        <is>
          <t>Oakmont</t>
        </is>
      </c>
      <c r="E14" s="10" t="inlineStr">
        <is>
          <t>15139</t>
        </is>
      </c>
      <c r="F14" s="10" t="inlineStr">
        <is>
          <t>Oakmont</t>
        </is>
      </c>
      <c r="G14" s="10" t="inlineStr">
        <is>
          <t>444-K-21-14</t>
        </is>
      </c>
      <c r="H14" s="10" t="inlineStr">
        <is>
          <t>search by address</t>
        </is>
      </c>
      <c r="I14" s="10" t="inlineStr">
        <is>
          <t>Residential / unspecified</t>
        </is>
      </c>
      <c r="J14" s="10" t="inlineStr">
        <is>
          <t>Tax lien (Sci Fa sur tax lien)</t>
        </is>
      </c>
      <c r="K14" s="10" t="inlineStr">
        <is>
          <t>Individual</t>
        </is>
      </c>
      <c r="L14" s="10" t="inlineStr">
        <is>
          <t>Grogg, Melynda C</t>
        </is>
      </c>
      <c r="M14" s="10" t="inlineStr">
        <is>
          <t>Oakmont Borough</t>
        </is>
      </c>
      <c r="N14" s="10" t="inlineStr">
        <is>
          <t>KRATZENBERG &amp; LAZZARO</t>
        </is>
      </c>
      <c r="O14" s="11" t="n">
        <v>20647.81</v>
      </c>
      <c r="P14" s="11" t="n"/>
      <c r="Q14" s="11" t="n">
        <v>20647.81</v>
      </c>
      <c r="R14" s="11" t="n"/>
      <c r="S14" s="10" t="inlineStr">
        <is>
          <t>✔ ✔ – –</t>
        </is>
      </c>
      <c r="T14" s="12" t="inlineStr">
        <is>
          <t>Only Rule 3129.3 outstanding
• Rule 3129.3 notice of postponed sale date (for 11/2/26)</t>
        </is>
      </c>
      <c r="U14" s="12" t="inlineStr"/>
      <c r="V14" s="12" t="inlineStr">
        <is>
          <t>NEED 3129.3 FOR 11-2-26</t>
        </is>
      </c>
      <c r="W14" s="10" t="inlineStr">
        <is>
          <t>Oakmont Boro</t>
        </is>
      </c>
      <c r="X14" s="13">
        <f>IFERROR(VLOOKUP(W14,'Transfer Tax'!$A$14:$H$400,8,FALSE),"")</f>
        <v/>
      </c>
      <c r="Y14" s="14" t="n"/>
      <c r="Z14" s="11">
        <f>IF(OR(Y14="",X14=""),"",Y14*'Transfer Tax'!$B$6*X14)</f>
        <v/>
      </c>
      <c r="AA14" s="14" t="n"/>
      <c r="AB14" s="15" t="n"/>
      <c r="AC14" s="14" t="n"/>
      <c r="AD14" s="15" t="n"/>
      <c r="AE14" s="10" t="inlineStr">
        <is>
          <t>2026-10-25</t>
        </is>
      </c>
    </row>
    <row r="15">
      <c r="A15" s="10" t="inlineStr">
        <is>
          <t>9AUG26</t>
        </is>
      </c>
      <c r="B15" s="10" t="inlineStr">
        <is>
          <t>MG-25-000548</t>
        </is>
      </c>
      <c r="C15" s="10" t="inlineStr">
        <is>
          <t>154 Glenfield Drive</t>
        </is>
      </c>
      <c r="D15" s="10" t="inlineStr">
        <is>
          <t>Pittsburgh</t>
        </is>
      </c>
      <c r="E15" s="10" t="inlineStr">
        <is>
          <t>15235</t>
        </is>
      </c>
      <c r="F15" s="10" t="inlineStr">
        <is>
          <t>Penn Hills</t>
        </is>
      </c>
      <c r="G15" s="10" t="inlineStr">
        <is>
          <t>448-K-114</t>
        </is>
      </c>
      <c r="H15" s="10" t="inlineStr">
        <is>
          <t>0448-K-00114-0000-00</t>
        </is>
      </c>
      <c r="I15" s="10" t="inlineStr">
        <is>
          <t>Residential / unspecified</t>
        </is>
      </c>
      <c r="J15" s="10" t="inlineStr">
        <is>
          <t>Mortgage foreclosure</t>
        </is>
      </c>
      <c r="K15" s="10" t="inlineStr">
        <is>
          <t>Individual</t>
        </is>
      </c>
      <c r="L15" s="10" t="inlineStr">
        <is>
          <t>Wilhoit II, James R.</t>
        </is>
      </c>
      <c r="M15" s="10" t="inlineStr">
        <is>
          <t>Federal Home Loan Mortgage Corporation</t>
        </is>
      </c>
      <c r="N15" s="10" t="inlineStr">
        <is>
          <t>LOGS LEGAL GROUP LLC</t>
        </is>
      </c>
      <c r="O15" s="11" t="n">
        <v>2967.49</v>
      </c>
      <c r="P15" s="11" t="n"/>
      <c r="Q15" s="11" t="n">
        <v>2967.49</v>
      </c>
      <c r="R15" s="11" t="n"/>
      <c r="S15" s="10" t="inlineStr">
        <is>
          <t>✔ ✔ ✔ –</t>
        </is>
      </c>
      <c r="T15" s="16" t="inlineStr">
        <is>
          <t>VERIFY – notes say OK TO SELL but OK box unchecked</t>
        </is>
      </c>
      <c r="U15" s="12" t="inlineStr"/>
      <c r="V15" s="12" t="inlineStr">
        <is>
          <t>OK TO SELL 11-2-26</t>
        </is>
      </c>
      <c r="W15" s="10" t="inlineStr">
        <is>
          <t>Penn Hills Municipality</t>
        </is>
      </c>
      <c r="X15" s="13">
        <f>IFERROR(VLOOKUP(W15,'Transfer Tax'!$A$14:$H$400,8,FALSE),"")</f>
        <v/>
      </c>
      <c r="Y15" s="14" t="n"/>
      <c r="Z15" s="11">
        <f>IF(OR(Y15="",X15=""),"",Y15*'Transfer Tax'!$B$6*X15)</f>
        <v/>
      </c>
      <c r="AA15" s="14" t="n"/>
      <c r="AB15" s="15" t="n"/>
      <c r="AC15" s="14" t="n"/>
      <c r="AD15" s="15" t="n"/>
      <c r="AE15" s="10" t="inlineStr">
        <is>
          <t>2026-10-25</t>
        </is>
      </c>
    </row>
    <row r="16">
      <c r="A16" s="10" t="inlineStr">
        <is>
          <t>57SEP26</t>
        </is>
      </c>
      <c r="B16" s="10" t="inlineStr">
        <is>
          <t>GD-25-013585</t>
        </is>
      </c>
      <c r="C16" s="10" t="inlineStr">
        <is>
          <t>1234 High Street</t>
        </is>
      </c>
      <c r="D16" s="10" t="inlineStr">
        <is>
          <t>Pittsburgh</t>
        </is>
      </c>
      <c r="E16" s="10" t="inlineStr">
        <is>
          <t>15212</t>
        </is>
      </c>
      <c r="F16" s="10" t="inlineStr">
        <is>
          <t>Pittsburgh</t>
        </is>
      </c>
      <c r="G16" s="10" t="inlineStr">
        <is>
          <t>24-C-152</t>
        </is>
      </c>
      <c r="H16" s="10" t="inlineStr">
        <is>
          <t>0024-C-00152-0000-00</t>
        </is>
      </c>
      <c r="I16" s="10" t="inlineStr">
        <is>
          <t>Residential / unspecified</t>
        </is>
      </c>
      <c r="J16" s="10" t="inlineStr">
        <is>
          <t>Mortgage foreclosure</t>
        </is>
      </c>
      <c r="K16" s="10" t="inlineStr">
        <is>
          <t>Entity (LLC/LP/Inc)</t>
        </is>
      </c>
      <c r="L16" s="10" t="inlineStr">
        <is>
          <t>Mansion Global LLC</t>
        </is>
      </c>
      <c r="M16" s="10" t="inlineStr">
        <is>
          <t>EF Mortgage LLC</t>
        </is>
      </c>
      <c r="N16" s="10" t="inlineStr">
        <is>
          <t>HLADIK ONORATO AND FEDERMAN LLP</t>
        </is>
      </c>
      <c r="O16" s="11" t="n">
        <v>3826.83</v>
      </c>
      <c r="P16" s="11" t="n"/>
      <c r="Q16" s="11" t="n">
        <v>3826.83</v>
      </c>
      <c r="R16" s="11" t="n"/>
      <c r="S16" s="10" t="inlineStr">
        <is>
          <t>✔ ✔ – –</t>
        </is>
      </c>
      <c r="T16" s="12" t="inlineStr">
        <is>
          <t>Only Rule 3129.3 outstanding
• Rule 3129.3 notice of postponed sale date (for 11/2/26)</t>
        </is>
      </c>
      <c r="U16" s="12" t="inlineStr"/>
      <c r="V16" s="12" t="inlineStr">
        <is>
          <t>NEED 3129.3 FOR 11-2-26</t>
        </is>
      </c>
      <c r="W16" s="10" t="inlineStr">
        <is>
          <t>Pittsburgh City (Pittsburgh SD)</t>
        </is>
      </c>
      <c r="X16" s="13">
        <f>IFERROR(VLOOKUP(W16,'Transfer Tax'!$A$14:$H$400,8,FALSE),"")</f>
        <v/>
      </c>
      <c r="Y16" s="14" t="n"/>
      <c r="Z16" s="11">
        <f>IF(OR(Y16="",X16=""),"",Y16*'Transfer Tax'!$B$6*X16)</f>
        <v/>
      </c>
      <c r="AA16" s="14" t="n"/>
      <c r="AB16" s="15" t="n"/>
      <c r="AC16" s="14" t="n"/>
      <c r="AD16" s="15" t="n"/>
      <c r="AE16" s="10" t="inlineStr">
        <is>
          <t>2026-10-25</t>
        </is>
      </c>
    </row>
    <row r="17">
      <c r="A17" s="10" t="inlineStr">
        <is>
          <t>119JUN25</t>
        </is>
      </c>
      <c r="B17" s="10" t="inlineStr">
        <is>
          <t>GD-24-011281</t>
        </is>
      </c>
      <c r="C17" s="10" t="inlineStr">
        <is>
          <t>2812 Wadlow St</t>
        </is>
      </c>
      <c r="D17" s="10" t="inlineStr">
        <is>
          <t>Pittsburgh</t>
        </is>
      </c>
      <c r="E17" s="10" t="inlineStr">
        <is>
          <t>15212</t>
        </is>
      </c>
      <c r="F17" s="10" t="inlineStr">
        <is>
          <t>Pittsburgh</t>
        </is>
      </c>
      <c r="G17" s="10" t="inlineStr">
        <is>
          <t>45-B-13</t>
        </is>
      </c>
      <c r="H17" s="10" t="inlineStr">
        <is>
          <t>0045-B-00013-0000-00</t>
        </is>
      </c>
      <c r="I17" s="10" t="inlineStr">
        <is>
          <t>Residential / unspecified</t>
        </is>
      </c>
      <c r="J17" s="10" t="inlineStr">
        <is>
          <t>Mortgage foreclosure</t>
        </is>
      </c>
      <c r="K17" s="10" t="inlineStr">
        <is>
          <t>Entity (LLC/LP/Inc)</t>
        </is>
      </c>
      <c r="L17" s="10" t="inlineStr">
        <is>
          <t>FERRELL HOLDINGS LLC</t>
        </is>
      </c>
      <c r="M17" s="10" t="inlineStr">
        <is>
          <t>Athene Annuity and Life Company</t>
        </is>
      </c>
      <c r="N17" s="10" t="inlineStr">
        <is>
          <t>FRIEDMAN VARTOLO LLP</t>
        </is>
      </c>
      <c r="O17" s="11" t="n">
        <v>16622.72</v>
      </c>
      <c r="P17" s="11" t="n"/>
      <c r="Q17" s="11" t="n">
        <v>16622.72</v>
      </c>
      <c r="R17" s="11" t="n">
        <v>170646.35</v>
      </c>
      <c r="S17" s="10" t="inlineStr">
        <is>
          <t>✔ ✔ – –</t>
        </is>
      </c>
      <c r="T17" s="12" t="inlineStr">
        <is>
          <t>Only Rule 3129.3 outstanding
• Rule 3129.3 notice of postponed sale date (for 11/2/26) – filed copy rejected, must be re-filed</t>
        </is>
      </c>
      <c r="U17" s="12" t="inlineStr"/>
      <c r="V17" s="12" t="inlineStr">
        <is>
          <t>3129.3 FOR 11-2-26 NOT ACCEPTED THERE IS NO FILING DATE ON DOCUMENTS (10-22-26)
O/C TO REASSESS DAMAGES TO $170,646.35</t>
        </is>
      </c>
      <c r="W17" s="10" t="inlineStr">
        <is>
          <t>Pittsburgh City (Pittsburgh SD)</t>
        </is>
      </c>
      <c r="X17" s="13">
        <f>IFERROR(VLOOKUP(W17,'Transfer Tax'!$A$14:$H$400,8,FALSE),"")</f>
        <v/>
      </c>
      <c r="Y17" s="14" t="n"/>
      <c r="Z17" s="11">
        <f>IF(OR(Y17="",X17=""),"",Y17*'Transfer Tax'!$B$6*X17)</f>
        <v/>
      </c>
      <c r="AA17" s="14" t="n"/>
      <c r="AB17" s="15" t="n"/>
      <c r="AC17" s="14" t="n"/>
      <c r="AD17" s="15" t="n"/>
      <c r="AE17" s="10" t="inlineStr">
        <is>
          <t>2026-10-25</t>
        </is>
      </c>
    </row>
    <row r="18">
      <c r="A18" s="10" t="inlineStr">
        <is>
          <t>10OCT26</t>
        </is>
      </c>
      <c r="B18" s="10" t="inlineStr">
        <is>
          <t>GD-26-002368</t>
        </is>
      </c>
      <c r="C18" s="10" t="inlineStr">
        <is>
          <t>2914 Glasgow St</t>
        </is>
      </c>
      <c r="D18" s="10" t="inlineStr">
        <is>
          <t>Pittsburgh</t>
        </is>
      </c>
      <c r="E18" s="10" t="inlineStr">
        <is>
          <t>15204</t>
        </is>
      </c>
      <c r="F18" s="10" t="inlineStr">
        <is>
          <t>Pittsburgh</t>
        </is>
      </c>
      <c r="G18" s="10" t="inlineStr">
        <is>
          <t>21-J-186</t>
        </is>
      </c>
      <c r="H18" s="10" t="inlineStr">
        <is>
          <t>0021-J-00186-0000-00</t>
        </is>
      </c>
      <c r="I18" s="10" t="inlineStr">
        <is>
          <t>Residential / unspecified</t>
        </is>
      </c>
      <c r="J18" s="10" t="inlineStr">
        <is>
          <t>Mortgage foreclosure</t>
        </is>
      </c>
      <c r="K18" s="10" t="inlineStr">
        <is>
          <t>Entity (LLC/LP/Inc)</t>
        </is>
      </c>
      <c r="L18" s="10" t="inlineStr">
        <is>
          <t>Sheraden Redevelopment Group LP</t>
        </is>
      </c>
      <c r="M18" s="10" t="inlineStr">
        <is>
          <t>U.S. Bank Trust Company National Association</t>
        </is>
      </c>
      <c r="N18" s="10" t="inlineStr">
        <is>
          <t>FRIEDMAN VARTOLO LLP</t>
        </is>
      </c>
      <c r="O18" s="11" t="n">
        <v>1858.7</v>
      </c>
      <c r="P18" s="11" t="n"/>
      <c r="Q18" s="11" t="n">
        <v>1858.7</v>
      </c>
      <c r="R18" s="11" t="n">
        <v>177331.16</v>
      </c>
      <c r="S18" s="10" t="inlineStr">
        <is>
          <t>✔ ✔ – –</t>
        </is>
      </c>
      <c r="T18" s="12" t="inlineStr">
        <is>
          <t>Only Rule 3129.3 outstanding
• Rule 3129.3 notice of postponed sale date (for 11/2/26)</t>
        </is>
      </c>
      <c r="U18" s="12" t="inlineStr"/>
      <c r="V18" s="12" t="inlineStr">
        <is>
          <t>RCVD O/C TO REASSESS DAMAGES $177,331.16
NEED 3129.3 FOR 11-2-26</t>
        </is>
      </c>
      <c r="W18" s="10" t="inlineStr">
        <is>
          <t>Pittsburgh City (Pittsburgh SD)</t>
        </is>
      </c>
      <c r="X18" s="13">
        <f>IFERROR(VLOOKUP(W18,'Transfer Tax'!$A$14:$H$400,8,FALSE),"")</f>
        <v/>
      </c>
      <c r="Y18" s="14" t="n"/>
      <c r="Z18" s="11">
        <f>IF(OR(Y18="",X18=""),"",Y18*'Transfer Tax'!$B$6*X18)</f>
        <v/>
      </c>
      <c r="AA18" s="14" t="n"/>
      <c r="AB18" s="15" t="n"/>
      <c r="AC18" s="14" t="n"/>
      <c r="AD18" s="15" t="n"/>
      <c r="AE18" s="10" t="inlineStr">
        <is>
          <t>2026-10-25</t>
        </is>
      </c>
    </row>
    <row r="19">
      <c r="A19" s="10" t="inlineStr">
        <is>
          <t>85JUL25</t>
        </is>
      </c>
      <c r="B19" s="10" t="inlineStr">
        <is>
          <t>GD-24-010996</t>
        </is>
      </c>
      <c r="C19" s="10" t="inlineStr">
        <is>
          <t>1204 Washington Boulevard Rear</t>
        </is>
      </c>
      <c r="D19" s="10" t="inlineStr">
        <is>
          <t>Mckeesport</t>
        </is>
      </c>
      <c r="E19" s="10" t="inlineStr">
        <is>
          <t>15133</t>
        </is>
      </c>
      <c r="F19" s="10" t="inlineStr">
        <is>
          <t>Port Vue</t>
        </is>
      </c>
      <c r="G19" s="10" t="inlineStr">
        <is>
          <t>383-G-116</t>
        </is>
      </c>
      <c r="H19" s="10" t="inlineStr">
        <is>
          <t>0383-G-00116-0000-00</t>
        </is>
      </c>
      <c r="I19" s="10" t="inlineStr">
        <is>
          <t>Residential / unspecified</t>
        </is>
      </c>
      <c r="J19" s="10" t="inlineStr">
        <is>
          <t>Tax lien (Sci Fa sur tax lien)</t>
        </is>
      </c>
      <c r="K19" s="10" t="inlineStr">
        <is>
          <t>Individual</t>
        </is>
      </c>
      <c r="L19" s="10" t="inlineStr">
        <is>
          <t>Rectenwald, Scott</t>
        </is>
      </c>
      <c r="M19" s="10" t="inlineStr">
        <is>
          <t>South Allegheny School District</t>
        </is>
      </c>
      <c r="N19" s="10" t="inlineStr">
        <is>
          <t>MAIELLO BRUNGO &amp; MAIELLO</t>
        </is>
      </c>
      <c r="O19" s="11" t="n">
        <v>24808.23</v>
      </c>
      <c r="P19" s="11" t="n"/>
      <c r="Q19" s="11" t="n">
        <v>24808.23</v>
      </c>
      <c r="R19" s="11" t="n"/>
      <c r="S19" s="10" t="inlineStr">
        <is>
          <t>✔ ✔ ✔ –</t>
        </is>
      </c>
      <c r="T19" s="16" t="inlineStr">
        <is>
          <t>VERIFY – Service/3129.2/3129.3 checked, OK not yet checked, no items listed</t>
        </is>
      </c>
      <c r="U19" s="12" t="inlineStr">
        <is>
          <t>Bankruptcy history: 1 filing(s)</t>
        </is>
      </c>
      <c r="V19" s="12" t="inlineStr">
        <is>
          <t>CHP 13 CN 25-21736 FILED ON 7/1/25
BKD RCVD 6-29-26</t>
        </is>
      </c>
      <c r="W19" s="10" t="inlineStr">
        <is>
          <t>Port Vue Boro</t>
        </is>
      </c>
      <c r="X19" s="13">
        <f>IFERROR(VLOOKUP(W19,'Transfer Tax'!$A$14:$H$400,8,FALSE),"")</f>
        <v/>
      </c>
      <c r="Y19" s="14" t="n"/>
      <c r="Z19" s="11">
        <f>IF(OR(Y19="",X19=""),"",Y19*'Transfer Tax'!$B$6*X19)</f>
        <v/>
      </c>
      <c r="AA19" s="14" t="n"/>
      <c r="AB19" s="15" t="n"/>
      <c r="AC19" s="14" t="n"/>
      <c r="AD19" s="15" t="n"/>
      <c r="AE19" s="10" t="inlineStr">
        <is>
          <t>2026-10-25</t>
        </is>
      </c>
    </row>
    <row r="20">
      <c r="A20" s="10" t="inlineStr">
        <is>
          <t>104AUG26</t>
        </is>
      </c>
      <c r="B20" s="10" t="inlineStr">
        <is>
          <t>MG-24-000780</t>
        </is>
      </c>
      <c r="C20" s="10" t="inlineStr">
        <is>
          <t>90 Highland Ave</t>
        </is>
      </c>
      <c r="D20" s="10" t="inlineStr">
        <is>
          <t>Mc Kees Rocks</t>
        </is>
      </c>
      <c r="E20" s="10" t="inlineStr">
        <is>
          <t>15136</t>
        </is>
      </c>
      <c r="F20" s="10" t="inlineStr">
        <is>
          <t>Stowe</t>
        </is>
      </c>
      <c r="G20" s="10" t="inlineStr">
        <is>
          <t>73-S-277</t>
        </is>
      </c>
      <c r="H20" s="10" t="inlineStr">
        <is>
          <t>0073-S-00277-0000-00</t>
        </is>
      </c>
      <c r="I20" s="10" t="inlineStr">
        <is>
          <t>Residential / unspecified</t>
        </is>
      </c>
      <c r="J20" s="10" t="inlineStr">
        <is>
          <t>Mortgage foreclosure</t>
        </is>
      </c>
      <c r="K20" s="10" t="inlineStr">
        <is>
          <t>Entity (LLC/LP/Inc)</t>
        </is>
      </c>
      <c r="L20" s="10" t="inlineStr">
        <is>
          <t>Royal Realty by TLM LLC</t>
        </is>
      </c>
      <c r="M20" s="10" t="inlineStr">
        <is>
          <t>U.S. Bank Trust Company National Association</t>
        </is>
      </c>
      <c r="N20" s="10" t="inlineStr">
        <is>
          <t>McCalla Raymer Leibert Pierce LLC</t>
        </is>
      </c>
      <c r="O20" s="11" t="n">
        <v>10813.64</v>
      </c>
      <c r="P20" s="11" t="n"/>
      <c r="Q20" s="11" t="n">
        <v>10813.64</v>
      </c>
      <c r="R20" s="11" t="n"/>
      <c r="S20" s="10" t="inlineStr">
        <is>
          <t>✔ ✔ – –</t>
        </is>
      </c>
      <c r="T20" s="12" t="inlineStr">
        <is>
          <t>Only Rule 3129.3 outstanding
• Rule 3129.3 notice of postponed sale date (for 11/2/26)</t>
        </is>
      </c>
      <c r="U20" s="12" t="inlineStr"/>
      <c r="V20" s="12" t="inlineStr">
        <is>
          <t>NEED 3129.3 FOR 11-2-26</t>
        </is>
      </c>
      <c r="W20" s="10" t="inlineStr">
        <is>
          <t>Stowe Twp</t>
        </is>
      </c>
      <c r="X20" s="13">
        <f>IFERROR(VLOOKUP(W20,'Transfer Tax'!$A$14:$H$400,8,FALSE),"")</f>
        <v/>
      </c>
      <c r="Y20" s="14" t="n"/>
      <c r="Z20" s="11">
        <f>IF(OR(Y20="",X20=""),"",Y20*'Transfer Tax'!$B$6*X20)</f>
        <v/>
      </c>
      <c r="AA20" s="14" t="n"/>
      <c r="AB20" s="15" t="n"/>
      <c r="AC20" s="14" t="n"/>
      <c r="AD20" s="15" t="n"/>
      <c r="AE20" s="10" t="inlineStr">
        <is>
          <t>2026-10-25</t>
        </is>
      </c>
    </row>
    <row r="21">
      <c r="A21" s="10" t="inlineStr">
        <is>
          <t>55AUG26</t>
        </is>
      </c>
      <c r="B21" s="10" t="inlineStr">
        <is>
          <t>GD-17-009395</t>
        </is>
      </c>
      <c r="C21" s="10" t="inlineStr">
        <is>
          <t>1800 Montier St</t>
        </is>
      </c>
      <c r="D21" s="10" t="inlineStr">
        <is>
          <t>Pittsburgh</t>
        </is>
      </c>
      <c r="E21" s="10" t="inlineStr">
        <is>
          <t>15221</t>
        </is>
      </c>
      <c r="F21" s="10" t="inlineStr">
        <is>
          <t>Wilkinsburg</t>
        </is>
      </c>
      <c r="G21" s="10" t="inlineStr">
        <is>
          <t>232-M-47</t>
        </is>
      </c>
      <c r="H21" s="10" t="inlineStr">
        <is>
          <t>0232-M-00047-0000-00</t>
        </is>
      </c>
      <c r="I21" s="10" t="inlineStr">
        <is>
          <t>Residential / unspecified</t>
        </is>
      </c>
      <c r="J21" s="10" t="inlineStr">
        <is>
          <t>Tax lien (Sci Fa sur tax lien)</t>
        </is>
      </c>
      <c r="K21" s="10" t="inlineStr">
        <is>
          <t>Individual</t>
        </is>
      </c>
      <c r="L21" s="10" t="inlineStr">
        <is>
          <t>Cheatham, Nichole</t>
        </is>
      </c>
      <c r="M21" s="10" t="inlineStr">
        <is>
          <t>Wilkinsburg Borough</t>
        </is>
      </c>
      <c r="N21" s="10" t="inlineStr">
        <is>
          <t>MAIELLO BRUNGO &amp; MAIELLO</t>
        </is>
      </c>
      <c r="O21" s="11" t="n">
        <v>163825.86</v>
      </c>
      <c r="P21" s="11" t="n"/>
      <c r="Q21" s="11" t="n">
        <v>163825.86</v>
      </c>
      <c r="R21" s="11" t="n"/>
      <c r="S21" s="10" t="inlineStr">
        <is>
          <t>✔ ✔ – –</t>
        </is>
      </c>
      <c r="T21" s="12" t="inlineStr">
        <is>
          <t>Only Rule 3129.3 outstanding
• Rule 3129.3 notice of postponed sale date (for 11/2/26)</t>
        </is>
      </c>
      <c r="U21" s="12" t="inlineStr"/>
      <c r="V21" s="12" t="inlineStr">
        <is>
          <t>NEED 3129.3 FOR 11-2-26</t>
        </is>
      </c>
      <c r="W21" s="10" t="inlineStr">
        <is>
          <t>Wilkinsburg Boro</t>
        </is>
      </c>
      <c r="X21" s="13">
        <f>IFERROR(VLOOKUP(W21,'Transfer Tax'!$A$14:$H$400,8,FALSE),"")</f>
        <v/>
      </c>
      <c r="Y21" s="14" t="n"/>
      <c r="Z21" s="11">
        <f>IF(OR(Y21="",X21=""),"",Y21*'Transfer Tax'!$B$6*X21)</f>
        <v/>
      </c>
      <c r="AA21" s="14" t="n"/>
      <c r="AB21" s="15" t="n"/>
      <c r="AC21" s="14" t="n"/>
      <c r="AD21" s="15" t="n"/>
      <c r="AE21" s="10" t="inlineStr">
        <is>
          <t>2026-10-25</t>
        </is>
      </c>
    </row>
  </sheetData>
  <autoFilter ref="A4:AE2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44"/>
  <sheetViews>
    <sheetView workbookViewId="0">
      <pane xSplit="1" ySplit="13" topLeftCell="B14" activePane="bottomRight" state="frozen"/>
      <selection pane="topRight"/>
      <selection pane="bottomLeft"/>
      <selection pane="bottomRight" activeCell="A1" sqref="A1"/>
    </sheetView>
  </sheetViews>
  <sheetFormatPr baseColWidth="8" defaultRowHeight="15"/>
  <cols>
    <col width="30" customWidth="1" min="1" max="1"/>
    <col width="10" customWidth="1" min="2" max="2"/>
    <col width="32" customWidth="1" min="3" max="3"/>
    <col width="10" customWidth="1" min="4" max="4"/>
    <col width="10" customWidth="1" min="5" max="5"/>
    <col width="9" customWidth="1" min="6" max="6"/>
    <col width="40" customWidth="1" min="7" max="7"/>
    <col width="10" customWidth="1" min="8" max="8"/>
    <col width="12" customWidth="1" min="9" max="9"/>
    <col width="11" customWidth="1" min="10" max="10"/>
    <col width="12" customWidth="1" min="11" max="11"/>
  </cols>
  <sheetData>
    <row r="1">
      <c r="A1" s="8" t="inlineStr">
        <is>
          <t>Realty transfer tax — every Allegheny County municipality</t>
        </is>
      </c>
    </row>
    <row r="2" ht="30" customHeight="1">
      <c r="A2" s="7" t="inlineStr">
        <is>
          <t>Local rates: Allegheny County Dept. of Real Estate 'Local Realty Transfer Tax Rates' page (cross-checked against ALT Title's deviation list as of 7/1/2025 — all 17 non-standard entries match). Names lightly normalized (e.g., 'Mt.'→'Mount').</t>
        </is>
      </c>
    </row>
    <row r="4">
      <c r="A4" s="3" t="inlineStr">
        <is>
          <t>INPUTS</t>
        </is>
      </c>
    </row>
    <row r="5">
      <c r="A5" t="inlineStr">
        <is>
          <t>State realty transfer tax rate</t>
        </is>
      </c>
      <c r="B5" s="17" t="n">
        <v>0.01</v>
      </c>
      <c r="C5" t="inlineStr">
        <is>
          <t>PA Dept. of Revenue — state RTT is 1%.</t>
        </is>
      </c>
    </row>
    <row r="6">
      <c r="A6" t="inlineStr">
        <is>
          <t>Allegheny CLR factor</t>
        </is>
      </c>
      <c r="B6" s="18" t="n">
        <v>2.03</v>
      </c>
      <c r="C6" t="inlineStr">
        <is>
          <t>Source: PA Dept. of Revenue CLR factor list for documents accepted 7/1/2026–6/30/2027 (Allegheny = 2.03). The County's own RTT page still shows the older 1.99.</t>
        </is>
      </c>
    </row>
    <row r="7">
      <c r="A7" t="inlineStr">
        <is>
          <t>Example assessed value (try your own)</t>
        </is>
      </c>
      <c r="B7" s="19" t="n">
        <v>40000</v>
      </c>
      <c r="C7" t="inlineStr">
        <is>
          <t>Look up a parcel's assessed value on the County Real Estate portal using the 'County parcel ID' column.</t>
        </is>
      </c>
    </row>
    <row r="9">
      <c r="A9" s="3" t="inlineStr">
        <is>
          <t>HOW THE TAX IS FIGURED ON A SHERIFF DEED</t>
        </is>
      </c>
    </row>
    <row r="10" ht="45" customHeight="1">
      <c r="A10" s="7" t="inlineStr">
        <is>
          <t>PA Revenue regulation 61 Pa. Code § 91.135: for transfers by execution, mortgage foreclosure, judicial sale or tax sale, the tax base is COMPUTED VALUE = assessed value × CLR factor — not your winning bid. A cheap bid can still carry a real tax bill.</t>
        </is>
      </c>
    </row>
    <row r="11">
      <c r="A11" t="inlineStr">
        <is>
          <t>Example computed value</t>
        </is>
      </c>
      <c r="B11" s="20">
        <f>B7*B6</f>
        <v/>
      </c>
    </row>
    <row r="13" ht="42" customHeight="1">
      <c r="A13" s="6" t="inlineStr">
        <is>
          <t>Municipality</t>
        </is>
      </c>
      <c r="B13" s="6" t="inlineStr">
        <is>
          <t>Municipal rate</t>
        </is>
      </c>
      <c r="C13" s="6" t="inlineStr">
        <is>
          <t>School district</t>
        </is>
      </c>
      <c r="D13" s="6" t="inlineStr">
        <is>
          <t>School rate</t>
        </is>
      </c>
      <c r="E13" s="6" t="inlineStr">
        <is>
          <t>Local total</t>
        </is>
      </c>
      <c r="F13" s="6" t="inlineStr">
        <is>
          <t>State rate</t>
        </is>
      </c>
      <c r="G13" s="6" t="inlineStr">
        <is>
          <t>Note</t>
        </is>
      </c>
      <c r="H13" s="6" t="inlineStr">
        <is>
          <t>Total rate</t>
        </is>
      </c>
      <c r="I13" s="6" t="inlineStr">
        <is>
          <t>Tax per $10k assessed</t>
        </is>
      </c>
      <c r="J13" s="6" t="inlineStr">
        <is>
          <t>On OK to Sell</t>
        </is>
      </c>
      <c r="K13" s="6" t="inlineStr">
        <is>
          <t>On Almost Ready</t>
        </is>
      </c>
    </row>
    <row r="14">
      <c r="A14" t="inlineStr">
        <is>
          <t>Aleppo Twp</t>
        </is>
      </c>
      <c r="B14" s="17" t="n">
        <v>0.005</v>
      </c>
      <c r="C14" t="inlineStr">
        <is>
          <t>Quaker Valley School District</t>
        </is>
      </c>
      <c r="D14" s="17" t="n">
        <v>0.005</v>
      </c>
      <c r="E14" s="17">
        <f>B14+D14</f>
        <v/>
      </c>
      <c r="F14" s="17">
        <f>$B$5</f>
        <v/>
      </c>
      <c r="H14" s="17">
        <f>E14+F14</f>
        <v/>
      </c>
      <c r="I14" s="20">
        <f>10000*$B$6*H14</f>
        <v/>
      </c>
      <c r="J14">
        <f>COUNTIF('OK to Sell'!$W:$W,A14)</f>
        <v/>
      </c>
      <c r="K14">
        <f>COUNTIF('Almost Ready'!$W:$W,A14)</f>
        <v/>
      </c>
    </row>
    <row r="15">
      <c r="A15" t="inlineStr">
        <is>
          <t>Aspinwall Boro</t>
        </is>
      </c>
      <c r="B15" s="17" t="n">
        <v>0.005</v>
      </c>
      <c r="C15" t="inlineStr">
        <is>
          <t>Fox Chapel Area School District</t>
        </is>
      </c>
      <c r="D15" s="17" t="n">
        <v>0.005</v>
      </c>
      <c r="E15" s="17">
        <f>B15+D15</f>
        <v/>
      </c>
      <c r="F15" s="17">
        <f>$B$5</f>
        <v/>
      </c>
      <c r="H15" s="17">
        <f>E15+F15</f>
        <v/>
      </c>
      <c r="I15" s="20">
        <f>10000*$B$6*H15</f>
        <v/>
      </c>
      <c r="J15">
        <f>COUNTIF('OK to Sell'!$W:$W,A15)</f>
        <v/>
      </c>
      <c r="K15">
        <f>COUNTIF('Almost Ready'!$W:$W,A15)</f>
        <v/>
      </c>
    </row>
    <row r="16">
      <c r="A16" t="inlineStr">
        <is>
          <t>Avalon Boro</t>
        </is>
      </c>
      <c r="B16" s="17" t="n">
        <v>0.005</v>
      </c>
      <c r="C16" t="inlineStr">
        <is>
          <t>Northgate School District</t>
        </is>
      </c>
      <c r="D16" s="17" t="n">
        <v>0.005</v>
      </c>
      <c r="E16" s="17">
        <f>B16+D16</f>
        <v/>
      </c>
      <c r="F16" s="17">
        <f>$B$5</f>
        <v/>
      </c>
      <c r="H16" s="17">
        <f>E16+F16</f>
        <v/>
      </c>
      <c r="I16" s="20">
        <f>10000*$B$6*H16</f>
        <v/>
      </c>
      <c r="J16">
        <f>COUNTIF('OK to Sell'!$W:$W,A16)</f>
        <v/>
      </c>
      <c r="K16">
        <f>COUNTIF('Almost Ready'!$W:$W,A16)</f>
        <v/>
      </c>
    </row>
    <row r="17">
      <c r="A17" t="inlineStr">
        <is>
          <t>Baldwin Boro</t>
        </is>
      </c>
      <c r="B17" s="17" t="n">
        <v>0.005</v>
      </c>
      <c r="C17" t="inlineStr">
        <is>
          <t>Baldwin-Whitehall School District</t>
        </is>
      </c>
      <c r="D17" s="17" t="n">
        <v>0.005</v>
      </c>
      <c r="E17" s="17">
        <f>B17+D17</f>
        <v/>
      </c>
      <c r="F17" s="17">
        <f>$B$5</f>
        <v/>
      </c>
      <c r="H17" s="17">
        <f>E17+F17</f>
        <v/>
      </c>
      <c r="I17" s="20">
        <f>10000*$B$6*H17</f>
        <v/>
      </c>
      <c r="J17">
        <f>COUNTIF('OK to Sell'!$W:$W,A17)</f>
        <v/>
      </c>
      <c r="K17">
        <f>COUNTIF('Almost Ready'!$W:$W,A17)</f>
        <v/>
      </c>
    </row>
    <row r="18">
      <c r="A18" t="inlineStr">
        <is>
          <t>Baldwin Twp</t>
        </is>
      </c>
      <c r="B18" s="17" t="n">
        <v>0.005</v>
      </c>
      <c r="C18" t="inlineStr">
        <is>
          <t>Baldwin-Whitehall School District</t>
        </is>
      </c>
      <c r="D18" s="17" t="n">
        <v>0.005</v>
      </c>
      <c r="E18" s="17">
        <f>B18+D18</f>
        <v/>
      </c>
      <c r="F18" s="17">
        <f>$B$5</f>
        <v/>
      </c>
      <c r="H18" s="17">
        <f>E18+F18</f>
        <v/>
      </c>
      <c r="I18" s="20">
        <f>10000*$B$6*H18</f>
        <v/>
      </c>
      <c r="J18">
        <f>COUNTIF('OK to Sell'!$W:$W,A18)</f>
        <v/>
      </c>
      <c r="K18">
        <f>COUNTIF('Almost Ready'!$W:$W,A18)</f>
        <v/>
      </c>
    </row>
    <row r="19">
      <c r="A19" t="inlineStr">
        <is>
          <t>Bellevue Boro</t>
        </is>
      </c>
      <c r="B19" s="17" t="n">
        <v>0.01</v>
      </c>
      <c r="C19" t="inlineStr">
        <is>
          <t>Northgate School District</t>
        </is>
      </c>
      <c r="D19" s="17" t="n">
        <v>0.005</v>
      </c>
      <c r="E19" s="17">
        <f>B19+D19</f>
        <v/>
      </c>
      <c r="F19" s="17">
        <f>$B$5</f>
        <v/>
      </c>
      <c r="H19" s="17">
        <f>E19+F19</f>
        <v/>
      </c>
      <c r="I19" s="20">
        <f>10000*$B$6*H19</f>
        <v/>
      </c>
      <c r="J19">
        <f>COUNTIF('OK to Sell'!$W:$W,A19)</f>
        <v/>
      </c>
      <c r="K19">
        <f>COUNTIF('Almost Ready'!$W:$W,A19)</f>
        <v/>
      </c>
    </row>
    <row r="20">
      <c r="A20" t="inlineStr">
        <is>
          <t>Bell Acres Boro</t>
        </is>
      </c>
      <c r="B20" s="17" t="n">
        <v>0.005</v>
      </c>
      <c r="C20" t="inlineStr">
        <is>
          <t>Quaker Valley School District</t>
        </is>
      </c>
      <c r="D20" s="17" t="n">
        <v>0.005</v>
      </c>
      <c r="E20" s="17">
        <f>B20+D20</f>
        <v/>
      </c>
      <c r="F20" s="17">
        <f>$B$5</f>
        <v/>
      </c>
      <c r="H20" s="17">
        <f>E20+F20</f>
        <v/>
      </c>
      <c r="I20" s="20">
        <f>10000*$B$6*H20</f>
        <v/>
      </c>
      <c r="J20">
        <f>COUNTIF('OK to Sell'!$W:$W,A20)</f>
        <v/>
      </c>
      <c r="K20">
        <f>COUNTIF('Almost Ready'!$W:$W,A20)</f>
        <v/>
      </c>
    </row>
    <row r="21">
      <c r="A21" t="inlineStr">
        <is>
          <t>Ben Avon Boro</t>
        </is>
      </c>
      <c r="B21" s="17" t="n">
        <v>0.005</v>
      </c>
      <c r="C21" t="inlineStr">
        <is>
          <t>Avonworth School District</t>
        </is>
      </c>
      <c r="D21" s="17" t="n">
        <v>0.005</v>
      </c>
      <c r="E21" s="17">
        <f>B21+D21</f>
        <v/>
      </c>
      <c r="F21" s="17">
        <f>$B$5</f>
        <v/>
      </c>
      <c r="H21" s="17">
        <f>E21+F21</f>
        <v/>
      </c>
      <c r="I21" s="20">
        <f>10000*$B$6*H21</f>
        <v/>
      </c>
      <c r="J21">
        <f>COUNTIF('OK to Sell'!$W:$W,A21)</f>
        <v/>
      </c>
      <c r="K21">
        <f>COUNTIF('Almost Ready'!$W:$W,A21)</f>
        <v/>
      </c>
    </row>
    <row r="22">
      <c r="A22" t="inlineStr">
        <is>
          <t>Ben Avon Heights Boro</t>
        </is>
      </c>
      <c r="B22" s="17" t="n">
        <v>0.005</v>
      </c>
      <c r="C22" t="inlineStr">
        <is>
          <t>Avonworth School District</t>
        </is>
      </c>
      <c r="D22" s="17" t="n">
        <v>0.005</v>
      </c>
      <c r="E22" s="17">
        <f>B22+D22</f>
        <v/>
      </c>
      <c r="F22" s="17">
        <f>$B$5</f>
        <v/>
      </c>
      <c r="H22" s="17">
        <f>E22+F22</f>
        <v/>
      </c>
      <c r="I22" s="20">
        <f>10000*$B$6*H22</f>
        <v/>
      </c>
      <c r="J22">
        <f>COUNTIF('OK to Sell'!$W:$W,A22)</f>
        <v/>
      </c>
      <c r="K22">
        <f>COUNTIF('Almost Ready'!$W:$W,A22)</f>
        <v/>
      </c>
    </row>
    <row r="23">
      <c r="A23" t="inlineStr">
        <is>
          <t>Bethel Park Municipality</t>
        </is>
      </c>
      <c r="B23" s="17" t="n">
        <v>0.01</v>
      </c>
      <c r="C23" t="inlineStr">
        <is>
          <t>Bethel Park School District</t>
        </is>
      </c>
      <c r="D23" s="17" t="n">
        <v>0.005</v>
      </c>
      <c r="E23" s="17">
        <f>B23+D23</f>
        <v/>
      </c>
      <c r="F23" s="17">
        <f>$B$5</f>
        <v/>
      </c>
      <c r="H23" s="17">
        <f>E23+F23</f>
        <v/>
      </c>
      <c r="I23" s="20">
        <f>10000*$B$6*H23</f>
        <v/>
      </c>
      <c r="J23">
        <f>COUNTIF('OK to Sell'!$W:$W,A23)</f>
        <v/>
      </c>
      <c r="K23">
        <f>COUNTIF('Almost Ready'!$W:$W,A23)</f>
        <v/>
      </c>
    </row>
    <row r="24">
      <c r="A24" t="inlineStr">
        <is>
          <t>Blawnox Boro</t>
        </is>
      </c>
      <c r="B24" s="17" t="n">
        <v>0.005</v>
      </c>
      <c r="C24" t="inlineStr">
        <is>
          <t>Fox Chapel Area School District</t>
        </is>
      </c>
      <c r="D24" s="17" t="n">
        <v>0.005</v>
      </c>
      <c r="E24" s="17">
        <f>B24+D24</f>
        <v/>
      </c>
      <c r="F24" s="17">
        <f>$B$5</f>
        <v/>
      </c>
      <c r="H24" s="17">
        <f>E24+F24</f>
        <v/>
      </c>
      <c r="I24" s="20">
        <f>10000*$B$6*H24</f>
        <v/>
      </c>
      <c r="J24">
        <f>COUNTIF('OK to Sell'!$W:$W,A24)</f>
        <v/>
      </c>
      <c r="K24">
        <f>COUNTIF('Almost Ready'!$W:$W,A24)</f>
        <v/>
      </c>
    </row>
    <row r="25">
      <c r="A25" t="inlineStr">
        <is>
          <t>Brackenridge Boro</t>
        </is>
      </c>
      <c r="B25" s="17" t="n">
        <v>0.005</v>
      </c>
      <c r="C25" t="inlineStr">
        <is>
          <t>Highlands School District</t>
        </is>
      </c>
      <c r="D25" s="17" t="n">
        <v>0.005</v>
      </c>
      <c r="E25" s="17">
        <f>B25+D25</f>
        <v/>
      </c>
      <c r="F25" s="17">
        <f>$B$5</f>
        <v/>
      </c>
      <c r="H25" s="17">
        <f>E25+F25</f>
        <v/>
      </c>
      <c r="I25" s="20">
        <f>10000*$B$6*H25</f>
        <v/>
      </c>
      <c r="J25">
        <f>COUNTIF('OK to Sell'!$W:$W,A25)</f>
        <v/>
      </c>
      <c r="K25">
        <f>COUNTIF('Almost Ready'!$W:$W,A25)</f>
        <v/>
      </c>
    </row>
    <row r="26">
      <c r="A26" t="inlineStr">
        <is>
          <t>Bradford Woods Boro</t>
        </is>
      </c>
      <c r="B26" s="17" t="n">
        <v>0.005</v>
      </c>
      <c r="C26" t="inlineStr">
        <is>
          <t>North Allegheny School District</t>
        </is>
      </c>
      <c r="D26" s="17" t="n">
        <v>0.005</v>
      </c>
      <c r="E26" s="17">
        <f>B26+D26</f>
        <v/>
      </c>
      <c r="F26" s="17">
        <f>$B$5</f>
        <v/>
      </c>
      <c r="H26" s="17">
        <f>E26+F26</f>
        <v/>
      </c>
      <c r="I26" s="20">
        <f>10000*$B$6*H26</f>
        <v/>
      </c>
      <c r="J26">
        <f>COUNTIF('OK to Sell'!$W:$W,A26)</f>
        <v/>
      </c>
      <c r="K26">
        <f>COUNTIF('Almost Ready'!$W:$W,A26)</f>
        <v/>
      </c>
    </row>
    <row r="27">
      <c r="A27" t="inlineStr">
        <is>
          <t>Braddock Boro</t>
        </is>
      </c>
      <c r="B27" s="17" t="n">
        <v>0.005</v>
      </c>
      <c r="C27" t="inlineStr">
        <is>
          <t>Woodland Hills School District</t>
        </is>
      </c>
      <c r="D27" s="17" t="n">
        <v>0.005</v>
      </c>
      <c r="E27" s="17">
        <f>B27+D27</f>
        <v/>
      </c>
      <c r="F27" s="17">
        <f>$B$5</f>
        <v/>
      </c>
      <c r="H27" s="17">
        <f>E27+F27</f>
        <v/>
      </c>
      <c r="I27" s="20">
        <f>10000*$B$6*H27</f>
        <v/>
      </c>
      <c r="J27">
        <f>COUNTIF('OK to Sell'!$W:$W,A27)</f>
        <v/>
      </c>
      <c r="K27">
        <f>COUNTIF('Almost Ready'!$W:$W,A27)</f>
        <v/>
      </c>
    </row>
    <row r="28">
      <c r="A28" t="inlineStr">
        <is>
          <t>Braddock Hills Boro</t>
        </is>
      </c>
      <c r="B28" s="17" t="n">
        <v>0.005</v>
      </c>
      <c r="C28" t="inlineStr">
        <is>
          <t>Woodland Hills School District</t>
        </is>
      </c>
      <c r="D28" s="17" t="n">
        <v>0.005</v>
      </c>
      <c r="E28" s="17">
        <f>B28+D28</f>
        <v/>
      </c>
      <c r="F28" s="17">
        <f>$B$5</f>
        <v/>
      </c>
      <c r="H28" s="17">
        <f>E28+F28</f>
        <v/>
      </c>
      <c r="I28" s="20">
        <f>10000*$B$6*H28</f>
        <v/>
      </c>
      <c r="J28">
        <f>COUNTIF('OK to Sell'!$W:$W,A28)</f>
        <v/>
      </c>
      <c r="K28">
        <f>COUNTIF('Almost Ready'!$W:$W,A28)</f>
        <v/>
      </c>
    </row>
    <row r="29">
      <c r="A29" t="inlineStr">
        <is>
          <t>Brentwood Boro</t>
        </is>
      </c>
      <c r="B29" s="17" t="n">
        <v>0.005</v>
      </c>
      <c r="C29" t="inlineStr">
        <is>
          <t>Brentwood School District</t>
        </is>
      </c>
      <c r="D29" s="17" t="n">
        <v>0.005</v>
      </c>
      <c r="E29" s="17">
        <f>B29+D29</f>
        <v/>
      </c>
      <c r="F29" s="17">
        <f>$B$5</f>
        <v/>
      </c>
      <c r="H29" s="17">
        <f>E29+F29</f>
        <v/>
      </c>
      <c r="I29" s="20">
        <f>10000*$B$6*H29</f>
        <v/>
      </c>
      <c r="J29">
        <f>COUNTIF('OK to Sell'!$W:$W,A29)</f>
        <v/>
      </c>
      <c r="K29">
        <f>COUNTIF('Almost Ready'!$W:$W,A29)</f>
        <v/>
      </c>
    </row>
    <row r="30">
      <c r="A30" t="inlineStr">
        <is>
          <t>Bridgeville Boro</t>
        </is>
      </c>
      <c r="B30" s="17" t="n">
        <v>0.005</v>
      </c>
      <c r="C30" t="inlineStr">
        <is>
          <t>Chartiers Valley School District</t>
        </is>
      </c>
      <c r="D30" s="17" t="n">
        <v>0.005</v>
      </c>
      <c r="E30" s="17">
        <f>B30+D30</f>
        <v/>
      </c>
      <c r="F30" s="17">
        <f>$B$5</f>
        <v/>
      </c>
      <c r="H30" s="17">
        <f>E30+F30</f>
        <v/>
      </c>
      <c r="I30" s="20">
        <f>10000*$B$6*H30</f>
        <v/>
      </c>
      <c r="J30">
        <f>COUNTIF('OK to Sell'!$W:$W,A30)</f>
        <v/>
      </c>
      <c r="K30">
        <f>COUNTIF('Almost Ready'!$W:$W,A30)</f>
        <v/>
      </c>
    </row>
    <row r="31">
      <c r="A31" t="inlineStr">
        <is>
          <t>Carnegie Boro</t>
        </is>
      </c>
      <c r="B31" s="17" t="n">
        <v>0.005</v>
      </c>
      <c r="C31" t="inlineStr">
        <is>
          <t>Carlynton School District</t>
        </is>
      </c>
      <c r="D31" s="17" t="n">
        <v>0.005</v>
      </c>
      <c r="E31" s="17">
        <f>B31+D31</f>
        <v/>
      </c>
      <c r="F31" s="17">
        <f>$B$5</f>
        <v/>
      </c>
      <c r="H31" s="17">
        <f>E31+F31</f>
        <v/>
      </c>
      <c r="I31" s="20">
        <f>10000*$B$6*H31</f>
        <v/>
      </c>
      <c r="J31">
        <f>COUNTIF('OK to Sell'!$W:$W,A31)</f>
        <v/>
      </c>
      <c r="K31">
        <f>COUNTIF('Almost Ready'!$W:$W,A31)</f>
        <v/>
      </c>
    </row>
    <row r="32">
      <c r="A32" t="inlineStr">
        <is>
          <t>Castle Shannon Boro</t>
        </is>
      </c>
      <c r="B32" s="17" t="n">
        <v>0.005</v>
      </c>
      <c r="C32" t="inlineStr">
        <is>
          <t>Keystone Oaks School District</t>
        </is>
      </c>
      <c r="D32" s="17" t="n">
        <v>0.005</v>
      </c>
      <c r="E32" s="17">
        <f>B32+D32</f>
        <v/>
      </c>
      <c r="F32" s="17">
        <f>$B$5</f>
        <v/>
      </c>
      <c r="H32" s="17">
        <f>E32+F32</f>
        <v/>
      </c>
      <c r="I32" s="20">
        <f>10000*$B$6*H32</f>
        <v/>
      </c>
      <c r="J32">
        <f>COUNTIF('OK to Sell'!$W:$W,A32)</f>
        <v/>
      </c>
      <c r="K32">
        <f>COUNTIF('Almost Ready'!$W:$W,A32)</f>
        <v/>
      </c>
    </row>
    <row r="33">
      <c r="A33" t="inlineStr">
        <is>
          <t>Chalfant Boro</t>
        </is>
      </c>
      <c r="B33" s="17" t="n">
        <v>0.005</v>
      </c>
      <c r="C33" t="inlineStr">
        <is>
          <t>Woodland Hills School District</t>
        </is>
      </c>
      <c r="D33" s="17" t="n">
        <v>0.005</v>
      </c>
      <c r="E33" s="17">
        <f>B33+D33</f>
        <v/>
      </c>
      <c r="F33" s="17">
        <f>$B$5</f>
        <v/>
      </c>
      <c r="H33" s="17">
        <f>E33+F33</f>
        <v/>
      </c>
      <c r="I33" s="20">
        <f>10000*$B$6*H33</f>
        <v/>
      </c>
      <c r="J33">
        <f>COUNTIF('OK to Sell'!$W:$W,A33)</f>
        <v/>
      </c>
      <c r="K33">
        <f>COUNTIF('Almost Ready'!$W:$W,A33)</f>
        <v/>
      </c>
    </row>
    <row r="34">
      <c r="A34" t="inlineStr">
        <is>
          <t>Cheswick Boro</t>
        </is>
      </c>
      <c r="B34" s="17" t="n">
        <v>0.005</v>
      </c>
      <c r="C34" t="inlineStr">
        <is>
          <t>Allegheny Valley School District</t>
        </is>
      </c>
      <c r="D34" s="17" t="n">
        <v>0.005</v>
      </c>
      <c r="E34" s="17">
        <f>B34+D34</f>
        <v/>
      </c>
      <c r="F34" s="17">
        <f>$B$5</f>
        <v/>
      </c>
      <c r="H34" s="17">
        <f>E34+F34</f>
        <v/>
      </c>
      <c r="I34" s="20">
        <f>10000*$B$6*H34</f>
        <v/>
      </c>
      <c r="J34">
        <f>COUNTIF('OK to Sell'!$W:$W,A34)</f>
        <v/>
      </c>
      <c r="K34">
        <f>COUNTIF('Almost Ready'!$W:$W,A34)</f>
        <v/>
      </c>
    </row>
    <row r="35">
      <c r="A35" t="inlineStr">
        <is>
          <t>Churchill Boro</t>
        </is>
      </c>
      <c r="B35" s="17" t="n">
        <v>0.005</v>
      </c>
      <c r="C35" t="inlineStr">
        <is>
          <t>Woodland Hills School District</t>
        </is>
      </c>
      <c r="D35" s="17" t="n">
        <v>0.005</v>
      </c>
      <c r="E35" s="17">
        <f>B35+D35</f>
        <v/>
      </c>
      <c r="F35" s="17">
        <f>$B$5</f>
        <v/>
      </c>
      <c r="H35" s="17">
        <f>E35+F35</f>
        <v/>
      </c>
      <c r="I35" s="20">
        <f>10000*$B$6*H35</f>
        <v/>
      </c>
      <c r="J35">
        <f>COUNTIF('OK to Sell'!$W:$W,A35)</f>
        <v/>
      </c>
      <c r="K35">
        <f>COUNTIF('Almost Ready'!$W:$W,A35)</f>
        <v/>
      </c>
    </row>
    <row r="36">
      <c r="A36" t="inlineStr">
        <is>
          <t>Clairton City</t>
        </is>
      </c>
      <c r="B36" s="17" t="n">
        <v>0.005</v>
      </c>
      <c r="C36" t="inlineStr">
        <is>
          <t>Clairton School District</t>
        </is>
      </c>
      <c r="D36" s="17" t="n">
        <v>0.005</v>
      </c>
      <c r="E36" s="17">
        <f>B36+D36</f>
        <v/>
      </c>
      <c r="F36" s="17">
        <f>$B$5</f>
        <v/>
      </c>
      <c r="H36" s="17">
        <f>E36+F36</f>
        <v/>
      </c>
      <c r="I36" s="20">
        <f>10000*$B$6*H36</f>
        <v/>
      </c>
      <c r="J36">
        <f>COUNTIF('OK to Sell'!$W:$W,A36)</f>
        <v/>
      </c>
      <c r="K36">
        <f>COUNTIF('Almost Ready'!$W:$W,A36)</f>
        <v/>
      </c>
    </row>
    <row r="37">
      <c r="A37" t="inlineStr">
        <is>
          <t>Collier Twp</t>
        </is>
      </c>
      <c r="B37" s="17" t="n">
        <v>0.005</v>
      </c>
      <c r="C37" t="inlineStr">
        <is>
          <t>Chartiers Valley School District</t>
        </is>
      </c>
      <c r="D37" s="17" t="n">
        <v>0.005</v>
      </c>
      <c r="E37" s="17">
        <f>B37+D37</f>
        <v/>
      </c>
      <c r="F37" s="17">
        <f>$B$5</f>
        <v/>
      </c>
      <c r="H37" s="17">
        <f>E37+F37</f>
        <v/>
      </c>
      <c r="I37" s="20">
        <f>10000*$B$6*H37</f>
        <v/>
      </c>
      <c r="J37">
        <f>COUNTIF('OK to Sell'!$W:$W,A37)</f>
        <v/>
      </c>
      <c r="K37">
        <f>COUNTIF('Almost Ready'!$W:$W,A37)</f>
        <v/>
      </c>
    </row>
    <row r="38">
      <c r="A38" t="inlineStr">
        <is>
          <t>Coraopolis Boro</t>
        </is>
      </c>
      <c r="B38" s="17" t="n">
        <v>0.005</v>
      </c>
      <c r="C38" t="inlineStr">
        <is>
          <t>Cornell School District</t>
        </is>
      </c>
      <c r="D38" s="17" t="n">
        <v>0.005</v>
      </c>
      <c r="E38" s="17">
        <f>B38+D38</f>
        <v/>
      </c>
      <c r="F38" s="17">
        <f>$B$5</f>
        <v/>
      </c>
      <c r="H38" s="17">
        <f>E38+F38</f>
        <v/>
      </c>
      <c r="I38" s="20">
        <f>10000*$B$6*H38</f>
        <v/>
      </c>
      <c r="J38">
        <f>COUNTIF('OK to Sell'!$W:$W,A38)</f>
        <v/>
      </c>
      <c r="K38">
        <f>COUNTIF('Almost Ready'!$W:$W,A38)</f>
        <v/>
      </c>
    </row>
    <row r="39">
      <c r="A39" t="inlineStr">
        <is>
          <t>Crafton Boro</t>
        </is>
      </c>
      <c r="B39" s="17" t="n">
        <v>0.005</v>
      </c>
      <c r="C39" t="inlineStr">
        <is>
          <t>Carlynton School District</t>
        </is>
      </c>
      <c r="D39" s="17" t="n">
        <v>0.005</v>
      </c>
      <c r="E39" s="17">
        <f>B39+D39</f>
        <v/>
      </c>
      <c r="F39" s="17">
        <f>$B$5</f>
        <v/>
      </c>
      <c r="H39" s="17">
        <f>E39+F39</f>
        <v/>
      </c>
      <c r="I39" s="20">
        <f>10000*$B$6*H39</f>
        <v/>
      </c>
      <c r="J39">
        <f>COUNTIF('OK to Sell'!$W:$W,A39)</f>
        <v/>
      </c>
      <c r="K39">
        <f>COUNTIF('Almost Ready'!$W:$W,A39)</f>
        <v/>
      </c>
    </row>
    <row r="40">
      <c r="A40" t="inlineStr">
        <is>
          <t>Crescent Twp</t>
        </is>
      </c>
      <c r="B40" s="17" t="n">
        <v>0.005</v>
      </c>
      <c r="C40" t="inlineStr">
        <is>
          <t>Moon Area School District</t>
        </is>
      </c>
      <c r="D40" s="17" t="n">
        <v>0.005</v>
      </c>
      <c r="E40" s="17">
        <f>B40+D40</f>
        <v/>
      </c>
      <c r="F40" s="17">
        <f>$B$5</f>
        <v/>
      </c>
      <c r="H40" s="17">
        <f>E40+F40</f>
        <v/>
      </c>
      <c r="I40" s="20">
        <f>10000*$B$6*H40</f>
        <v/>
      </c>
      <c r="J40">
        <f>COUNTIF('OK to Sell'!$W:$W,A40)</f>
        <v/>
      </c>
      <c r="K40">
        <f>COUNTIF('Almost Ready'!$W:$W,A40)</f>
        <v/>
      </c>
    </row>
    <row r="41">
      <c r="A41" t="inlineStr">
        <is>
          <t>Dormont Boro</t>
        </is>
      </c>
      <c r="B41" s="17" t="n">
        <v>0.005</v>
      </c>
      <c r="C41" t="inlineStr">
        <is>
          <t>Keystone Oaks School District</t>
        </is>
      </c>
      <c r="D41" s="17" t="n">
        <v>0.005</v>
      </c>
      <c r="E41" s="17">
        <f>B41+D41</f>
        <v/>
      </c>
      <c r="F41" s="17">
        <f>$B$5</f>
        <v/>
      </c>
      <c r="H41" s="17">
        <f>E41+F41</f>
        <v/>
      </c>
      <c r="I41" s="20">
        <f>10000*$B$6*H41</f>
        <v/>
      </c>
      <c r="J41">
        <f>COUNTIF('OK to Sell'!$W:$W,A41)</f>
        <v/>
      </c>
      <c r="K41">
        <f>COUNTIF('Almost Ready'!$W:$W,A41)</f>
        <v/>
      </c>
    </row>
    <row r="42">
      <c r="A42" t="inlineStr">
        <is>
          <t>Dravosburg Boro</t>
        </is>
      </c>
      <c r="B42" s="17" t="n">
        <v>0.005</v>
      </c>
      <c r="C42" t="inlineStr">
        <is>
          <t>McKeesport Area School District</t>
        </is>
      </c>
      <c r="D42" s="17" t="n">
        <v>0.005</v>
      </c>
      <c r="E42" s="17">
        <f>B42+D42</f>
        <v/>
      </c>
      <c r="F42" s="17">
        <f>$B$5</f>
        <v/>
      </c>
      <c r="H42" s="17">
        <f>E42+F42</f>
        <v/>
      </c>
      <c r="I42" s="20">
        <f>10000*$B$6*H42</f>
        <v/>
      </c>
      <c r="J42">
        <f>COUNTIF('OK to Sell'!$W:$W,A42)</f>
        <v/>
      </c>
      <c r="K42">
        <f>COUNTIF('Almost Ready'!$W:$W,A42)</f>
        <v/>
      </c>
    </row>
    <row r="43">
      <c r="A43" t="inlineStr">
        <is>
          <t>Duquesne City</t>
        </is>
      </c>
      <c r="B43" s="17" t="n">
        <v>0.005</v>
      </c>
      <c r="C43" t="inlineStr">
        <is>
          <t>Duquesne School District</t>
        </is>
      </c>
      <c r="D43" s="17" t="n">
        <v>0.005</v>
      </c>
      <c r="E43" s="17">
        <f>B43+D43</f>
        <v/>
      </c>
      <c r="F43" s="17">
        <f>$B$5</f>
        <v/>
      </c>
      <c r="H43" s="17">
        <f>E43+F43</f>
        <v/>
      </c>
      <c r="I43" s="20">
        <f>10000*$B$6*H43</f>
        <v/>
      </c>
      <c r="J43">
        <f>COUNTIF('OK to Sell'!$W:$W,A43)</f>
        <v/>
      </c>
      <c r="K43">
        <f>COUNTIF('Almost Ready'!$W:$W,A43)</f>
        <v/>
      </c>
    </row>
    <row r="44">
      <c r="A44" t="inlineStr">
        <is>
          <t>East Deer Twp</t>
        </is>
      </c>
      <c r="B44" s="17" t="n">
        <v>0.005</v>
      </c>
      <c r="C44" t="inlineStr">
        <is>
          <t>Deer Lakes School District</t>
        </is>
      </c>
      <c r="D44" s="17" t="n">
        <v>0.005</v>
      </c>
      <c r="E44" s="17">
        <f>B44+D44</f>
        <v/>
      </c>
      <c r="F44" s="17">
        <f>$B$5</f>
        <v/>
      </c>
      <c r="H44" s="17">
        <f>E44+F44</f>
        <v/>
      </c>
      <c r="I44" s="20">
        <f>10000*$B$6*H44</f>
        <v/>
      </c>
      <c r="J44">
        <f>COUNTIF('OK to Sell'!$W:$W,A44)</f>
        <v/>
      </c>
      <c r="K44">
        <f>COUNTIF('Almost Ready'!$W:$W,A44)</f>
        <v/>
      </c>
    </row>
    <row r="45">
      <c r="A45" t="inlineStr">
        <is>
          <t>East Pittsburgh Boro</t>
        </is>
      </c>
      <c r="B45" s="17" t="n">
        <v>0.005</v>
      </c>
      <c r="C45" t="inlineStr">
        <is>
          <t>Woodland Hills School District</t>
        </is>
      </c>
      <c r="D45" s="17" t="n">
        <v>0.005</v>
      </c>
      <c r="E45" s="17">
        <f>B45+D45</f>
        <v/>
      </c>
      <c r="F45" s="17">
        <f>$B$5</f>
        <v/>
      </c>
      <c r="H45" s="17">
        <f>E45+F45</f>
        <v/>
      </c>
      <c r="I45" s="20">
        <f>10000*$B$6*H45</f>
        <v/>
      </c>
      <c r="J45">
        <f>COUNTIF('OK to Sell'!$W:$W,A45)</f>
        <v/>
      </c>
      <c r="K45">
        <f>COUNTIF('Almost Ready'!$W:$W,A45)</f>
        <v/>
      </c>
    </row>
    <row r="46">
      <c r="A46" t="inlineStr">
        <is>
          <t>East McKeesport Boro</t>
        </is>
      </c>
      <c r="B46" s="17" t="n">
        <v>0.005</v>
      </c>
      <c r="C46" t="inlineStr">
        <is>
          <t>East Allegheny School District</t>
        </is>
      </c>
      <c r="D46" s="17" t="n">
        <v>0.005</v>
      </c>
      <c r="E46" s="17">
        <f>B46+D46</f>
        <v/>
      </c>
      <c r="F46" s="17">
        <f>$B$5</f>
        <v/>
      </c>
      <c r="H46" s="17">
        <f>E46+F46</f>
        <v/>
      </c>
      <c r="I46" s="20">
        <f>10000*$B$6*H46</f>
        <v/>
      </c>
      <c r="J46">
        <f>COUNTIF('OK to Sell'!$W:$W,A46)</f>
        <v/>
      </c>
      <c r="K46">
        <f>COUNTIF('Almost Ready'!$W:$W,A46)</f>
        <v/>
      </c>
    </row>
    <row r="47">
      <c r="A47" t="inlineStr">
        <is>
          <t>Edgeworth Boro</t>
        </is>
      </c>
      <c r="B47" s="17" t="n">
        <v>0.005</v>
      </c>
      <c r="C47" t="inlineStr">
        <is>
          <t>Quaker Valley School District</t>
        </is>
      </c>
      <c r="D47" s="17" t="n">
        <v>0.005</v>
      </c>
      <c r="E47" s="17">
        <f>B47+D47</f>
        <v/>
      </c>
      <c r="F47" s="17">
        <f>$B$5</f>
        <v/>
      </c>
      <c r="H47" s="17">
        <f>E47+F47</f>
        <v/>
      </c>
      <c r="I47" s="20">
        <f>10000*$B$6*H47</f>
        <v/>
      </c>
      <c r="J47">
        <f>COUNTIF('OK to Sell'!$W:$W,A47)</f>
        <v/>
      </c>
      <c r="K47">
        <f>COUNTIF('Almost Ready'!$W:$W,A47)</f>
        <v/>
      </c>
    </row>
    <row r="48">
      <c r="A48" t="inlineStr">
        <is>
          <t>Edgewood Boro</t>
        </is>
      </c>
      <c r="B48" s="17" t="n">
        <v>0.005</v>
      </c>
      <c r="C48" t="inlineStr">
        <is>
          <t>Woodland Hills School District</t>
        </is>
      </c>
      <c r="D48" s="17" t="n">
        <v>0.005</v>
      </c>
      <c r="E48" s="17">
        <f>B48+D48</f>
        <v/>
      </c>
      <c r="F48" s="17">
        <f>$B$5</f>
        <v/>
      </c>
      <c r="H48" s="17">
        <f>E48+F48</f>
        <v/>
      </c>
      <c r="I48" s="20">
        <f>10000*$B$6*H48</f>
        <v/>
      </c>
      <c r="J48">
        <f>COUNTIF('OK to Sell'!$W:$W,A48)</f>
        <v/>
      </c>
      <c r="K48">
        <f>COUNTIF('Almost Ready'!$W:$W,A48)</f>
        <v/>
      </c>
    </row>
    <row r="49">
      <c r="A49" t="inlineStr">
        <is>
          <t>Elizabeth Boro</t>
        </is>
      </c>
      <c r="B49" s="17" t="n">
        <v>0.005</v>
      </c>
      <c r="C49" t="inlineStr">
        <is>
          <t>Elizabeth Forward School District</t>
        </is>
      </c>
      <c r="D49" s="17" t="n">
        <v>0.005</v>
      </c>
      <c r="E49" s="17">
        <f>B49+D49</f>
        <v/>
      </c>
      <c r="F49" s="17">
        <f>$B$5</f>
        <v/>
      </c>
      <c r="H49" s="17">
        <f>E49+F49</f>
        <v/>
      </c>
      <c r="I49" s="20">
        <f>10000*$B$6*H49</f>
        <v/>
      </c>
      <c r="J49">
        <f>COUNTIF('OK to Sell'!$W:$W,A49)</f>
        <v/>
      </c>
      <c r="K49">
        <f>COUNTIF('Almost Ready'!$W:$W,A49)</f>
        <v/>
      </c>
    </row>
    <row r="50">
      <c r="A50" t="inlineStr">
        <is>
          <t>Elizabeth Twp</t>
        </is>
      </c>
      <c r="B50" s="17" t="n">
        <v>0.005</v>
      </c>
      <c r="C50" t="inlineStr">
        <is>
          <t>Elizabeth Forward School District</t>
        </is>
      </c>
      <c r="D50" s="17" t="n">
        <v>0.005</v>
      </c>
      <c r="E50" s="17">
        <f>B50+D50</f>
        <v/>
      </c>
      <c r="F50" s="17">
        <f>$B$5</f>
        <v/>
      </c>
      <c r="H50" s="17">
        <f>E50+F50</f>
        <v/>
      </c>
      <c r="I50" s="20">
        <f>10000*$B$6*H50</f>
        <v/>
      </c>
      <c r="J50">
        <f>COUNTIF('OK to Sell'!$W:$W,A50)</f>
        <v/>
      </c>
      <c r="K50">
        <f>COUNTIF('Almost Ready'!$W:$W,A50)</f>
        <v/>
      </c>
    </row>
    <row r="51">
      <c r="A51" t="inlineStr">
        <is>
          <t>Emsworth Boro</t>
        </is>
      </c>
      <c r="B51" s="17" t="n">
        <v>0.005</v>
      </c>
      <c r="C51" t="inlineStr">
        <is>
          <t>Avonworth School District</t>
        </is>
      </c>
      <c r="D51" s="17" t="n">
        <v>0.005</v>
      </c>
      <c r="E51" s="17">
        <f>B51+D51</f>
        <v/>
      </c>
      <c r="F51" s="17">
        <f>$B$5</f>
        <v/>
      </c>
      <c r="H51" s="17">
        <f>E51+F51</f>
        <v/>
      </c>
      <c r="I51" s="20">
        <f>10000*$B$6*H51</f>
        <v/>
      </c>
      <c r="J51">
        <f>COUNTIF('OK to Sell'!$W:$W,A51)</f>
        <v/>
      </c>
      <c r="K51">
        <f>COUNTIF('Almost Ready'!$W:$W,A51)</f>
        <v/>
      </c>
    </row>
    <row r="52">
      <c r="A52" t="inlineStr">
        <is>
          <t>Etna Boro</t>
        </is>
      </c>
      <c r="B52" s="17" t="n">
        <v>0.005</v>
      </c>
      <c r="C52" t="inlineStr">
        <is>
          <t>Shaler Area School District</t>
        </is>
      </c>
      <c r="D52" s="17" t="n">
        <v>0.005</v>
      </c>
      <c r="E52" s="17">
        <f>B52+D52</f>
        <v/>
      </c>
      <c r="F52" s="17">
        <f>$B$5</f>
        <v/>
      </c>
      <c r="H52" s="17">
        <f>E52+F52</f>
        <v/>
      </c>
      <c r="I52" s="20">
        <f>10000*$B$6*H52</f>
        <v/>
      </c>
      <c r="J52">
        <f>COUNTIF('OK to Sell'!$W:$W,A52)</f>
        <v/>
      </c>
      <c r="K52">
        <f>COUNTIF('Almost Ready'!$W:$W,A52)</f>
        <v/>
      </c>
    </row>
    <row r="53">
      <c r="A53" t="inlineStr">
        <is>
          <t>Fawn Twp</t>
        </is>
      </c>
      <c r="B53" s="17" t="n">
        <v>0.005</v>
      </c>
      <c r="C53" t="inlineStr">
        <is>
          <t>Highlands School District</t>
        </is>
      </c>
      <c r="D53" s="17" t="n">
        <v>0.005</v>
      </c>
      <c r="E53" s="17">
        <f>B53+D53</f>
        <v/>
      </c>
      <c r="F53" s="17">
        <f>$B$5</f>
        <v/>
      </c>
      <c r="H53" s="17">
        <f>E53+F53</f>
        <v/>
      </c>
      <c r="I53" s="20">
        <f>10000*$B$6*H53</f>
        <v/>
      </c>
      <c r="J53">
        <f>COUNTIF('OK to Sell'!$W:$W,A53)</f>
        <v/>
      </c>
      <c r="K53">
        <f>COUNTIF('Almost Ready'!$W:$W,A53)</f>
        <v/>
      </c>
    </row>
    <row r="54">
      <c r="A54" t="inlineStr">
        <is>
          <t>Findlay Twp</t>
        </is>
      </c>
      <c r="B54" s="17" t="n">
        <v>0.005</v>
      </c>
      <c r="C54" t="inlineStr">
        <is>
          <t>West Allegheny School District</t>
        </is>
      </c>
      <c r="D54" s="17" t="n">
        <v>0.005</v>
      </c>
      <c r="E54" s="17">
        <f>B54+D54</f>
        <v/>
      </c>
      <c r="F54" s="17">
        <f>$B$5</f>
        <v/>
      </c>
      <c r="H54" s="17">
        <f>E54+F54</f>
        <v/>
      </c>
      <c r="I54" s="20">
        <f>10000*$B$6*H54</f>
        <v/>
      </c>
      <c r="J54">
        <f>COUNTIF('OK to Sell'!$W:$W,A54)</f>
        <v/>
      </c>
      <c r="K54">
        <f>COUNTIF('Almost Ready'!$W:$W,A54)</f>
        <v/>
      </c>
    </row>
    <row r="55">
      <c r="A55" t="inlineStr">
        <is>
          <t>Forward Twp</t>
        </is>
      </c>
      <c r="B55" s="17" t="n">
        <v>0.005</v>
      </c>
      <c r="C55" t="inlineStr">
        <is>
          <t>Elizabeth Forward School District</t>
        </is>
      </c>
      <c r="D55" s="17" t="n">
        <v>0.005</v>
      </c>
      <c r="E55" s="17">
        <f>B55+D55</f>
        <v/>
      </c>
      <c r="F55" s="17">
        <f>$B$5</f>
        <v/>
      </c>
      <c r="H55" s="17">
        <f>E55+F55</f>
        <v/>
      </c>
      <c r="I55" s="20">
        <f>10000*$B$6*H55</f>
        <v/>
      </c>
      <c r="J55">
        <f>COUNTIF('OK to Sell'!$W:$W,A55)</f>
        <v/>
      </c>
      <c r="K55">
        <f>COUNTIF('Almost Ready'!$W:$W,A55)</f>
        <v/>
      </c>
    </row>
    <row r="56">
      <c r="A56" t="inlineStr">
        <is>
          <t>Forest Hills Boro</t>
        </is>
      </c>
      <c r="B56" s="17" t="n">
        <v>0.005</v>
      </c>
      <c r="C56" t="inlineStr">
        <is>
          <t>Woodland Hills School District</t>
        </is>
      </c>
      <c r="D56" s="17" t="n">
        <v>0.005</v>
      </c>
      <c r="E56" s="17">
        <f>B56+D56</f>
        <v/>
      </c>
      <c r="F56" s="17">
        <f>$B$5</f>
        <v/>
      </c>
      <c r="H56" s="17">
        <f>E56+F56</f>
        <v/>
      </c>
      <c r="I56" s="20">
        <f>10000*$B$6*H56</f>
        <v/>
      </c>
      <c r="J56">
        <f>COUNTIF('OK to Sell'!$W:$W,A56)</f>
        <v/>
      </c>
      <c r="K56">
        <f>COUNTIF('Almost Ready'!$W:$W,A56)</f>
        <v/>
      </c>
    </row>
    <row r="57">
      <c r="A57" t="inlineStr">
        <is>
          <t>Fox Chapel Boro</t>
        </is>
      </c>
      <c r="B57" s="17" t="n">
        <v>0.005</v>
      </c>
      <c r="C57" t="inlineStr">
        <is>
          <t>Fox Chapel Area School District</t>
        </is>
      </c>
      <c r="D57" s="17" t="n">
        <v>0.005</v>
      </c>
      <c r="E57" s="17">
        <f>B57+D57</f>
        <v/>
      </c>
      <c r="F57" s="17">
        <f>$B$5</f>
        <v/>
      </c>
      <c r="H57" s="17">
        <f>E57+F57</f>
        <v/>
      </c>
      <c r="I57" s="20">
        <f>10000*$B$6*H57</f>
        <v/>
      </c>
      <c r="J57">
        <f>COUNTIF('OK to Sell'!$W:$W,A57)</f>
        <v/>
      </c>
      <c r="K57">
        <f>COUNTIF('Almost Ready'!$W:$W,A57)</f>
        <v/>
      </c>
    </row>
    <row r="58">
      <c r="A58" t="inlineStr">
        <is>
          <t>Franklin Park Boro</t>
        </is>
      </c>
      <c r="B58" s="17" t="n">
        <v>0.005</v>
      </c>
      <c r="C58" t="inlineStr">
        <is>
          <t>North Allegheny School District</t>
        </is>
      </c>
      <c r="D58" s="17" t="n">
        <v>0.005</v>
      </c>
      <c r="E58" s="17">
        <f>B58+D58</f>
        <v/>
      </c>
      <c r="F58" s="17">
        <f>$B$5</f>
        <v/>
      </c>
      <c r="H58" s="17">
        <f>E58+F58</f>
        <v/>
      </c>
      <c r="I58" s="20">
        <f>10000*$B$6*H58</f>
        <v/>
      </c>
      <c r="J58">
        <f>COUNTIF('OK to Sell'!$W:$W,A58)</f>
        <v/>
      </c>
      <c r="K58">
        <f>COUNTIF('Almost Ready'!$W:$W,A58)</f>
        <v/>
      </c>
    </row>
    <row r="59">
      <c r="A59" t="inlineStr">
        <is>
          <t>Frazer Twp</t>
        </is>
      </c>
      <c r="B59" s="17" t="n">
        <v>0.005</v>
      </c>
      <c r="C59" t="inlineStr">
        <is>
          <t>Deer Lakes School District</t>
        </is>
      </c>
      <c r="D59" s="17" t="n">
        <v>0.005</v>
      </c>
      <c r="E59" s="17">
        <f>B59+D59</f>
        <v/>
      </c>
      <c r="F59" s="17">
        <f>$B$5</f>
        <v/>
      </c>
      <c r="H59" s="17">
        <f>E59+F59</f>
        <v/>
      </c>
      <c r="I59" s="20">
        <f>10000*$B$6*H59</f>
        <v/>
      </c>
      <c r="J59">
        <f>COUNTIF('OK to Sell'!$W:$W,A59)</f>
        <v/>
      </c>
      <c r="K59">
        <f>COUNTIF('Almost Ready'!$W:$W,A59)</f>
        <v/>
      </c>
    </row>
    <row r="60">
      <c r="A60" t="inlineStr">
        <is>
          <t>Glassport Boro</t>
        </is>
      </c>
      <c r="B60" s="17" t="n">
        <v>0.005</v>
      </c>
      <c r="C60" t="inlineStr">
        <is>
          <t>South Allegheny School District</t>
        </is>
      </c>
      <c r="D60" s="17" t="n">
        <v>0.005</v>
      </c>
      <c r="E60" s="17">
        <f>B60+D60</f>
        <v/>
      </c>
      <c r="F60" s="17">
        <f>$B$5</f>
        <v/>
      </c>
      <c r="H60" s="17">
        <f>E60+F60</f>
        <v/>
      </c>
      <c r="I60" s="20">
        <f>10000*$B$6*H60</f>
        <v/>
      </c>
      <c r="J60">
        <f>COUNTIF('OK to Sell'!$W:$W,A60)</f>
        <v/>
      </c>
      <c r="K60">
        <f>COUNTIF('Almost Ready'!$W:$W,A60)</f>
        <v/>
      </c>
    </row>
    <row r="61">
      <c r="A61" t="inlineStr">
        <is>
          <t>Glen Osborne Boro</t>
        </is>
      </c>
      <c r="B61" s="17" t="n">
        <v>0.005</v>
      </c>
      <c r="C61" t="inlineStr">
        <is>
          <t>Quaker Valley School District</t>
        </is>
      </c>
      <c r="D61" s="17" t="n">
        <v>0.005</v>
      </c>
      <c r="E61" s="17">
        <f>B61+D61</f>
        <v/>
      </c>
      <c r="F61" s="17">
        <f>$B$5</f>
        <v/>
      </c>
      <c r="H61" s="17">
        <f>E61+F61</f>
        <v/>
      </c>
      <c r="I61" s="20">
        <f>10000*$B$6*H61</f>
        <v/>
      </c>
      <c r="J61">
        <f>COUNTIF('OK to Sell'!$W:$W,A61)</f>
        <v/>
      </c>
      <c r="K61">
        <f>COUNTIF('Almost Ready'!$W:$W,A61)</f>
        <v/>
      </c>
    </row>
    <row r="62">
      <c r="A62" t="inlineStr">
        <is>
          <t>Glenfield Boro</t>
        </is>
      </c>
      <c r="B62" s="17" t="n">
        <v>0.005</v>
      </c>
      <c r="C62" t="inlineStr">
        <is>
          <t>Quaker Valley School District</t>
        </is>
      </c>
      <c r="D62" s="17" t="n">
        <v>0.005</v>
      </c>
      <c r="E62" s="17">
        <f>B62+D62</f>
        <v/>
      </c>
      <c r="F62" s="17">
        <f>$B$5</f>
        <v/>
      </c>
      <c r="H62" s="17">
        <f>E62+F62</f>
        <v/>
      </c>
      <c r="I62" s="20">
        <f>10000*$B$6*H62</f>
        <v/>
      </c>
      <c r="J62">
        <f>COUNTIF('OK to Sell'!$W:$W,A62)</f>
        <v/>
      </c>
      <c r="K62">
        <f>COUNTIF('Almost Ready'!$W:$W,A62)</f>
        <v/>
      </c>
    </row>
    <row r="63">
      <c r="A63" t="inlineStr">
        <is>
          <t>Green Tree Boro</t>
        </is>
      </c>
      <c r="B63" s="17" t="n">
        <v>0.01</v>
      </c>
      <c r="C63" t="inlineStr">
        <is>
          <t>Keystone Oaks School District</t>
        </is>
      </c>
      <c r="D63" s="17" t="n">
        <v>0.005</v>
      </c>
      <c r="E63" s="17">
        <f>B63+D63</f>
        <v/>
      </c>
      <c r="F63" s="17">
        <f>$B$5</f>
        <v/>
      </c>
      <c r="H63" s="17">
        <f>E63+F63</f>
        <v/>
      </c>
      <c r="I63" s="20">
        <f>10000*$B$6*H63</f>
        <v/>
      </c>
      <c r="J63">
        <f>COUNTIF('OK to Sell'!$W:$W,A63)</f>
        <v/>
      </c>
      <c r="K63">
        <f>COUNTIF('Almost Ready'!$W:$W,A63)</f>
        <v/>
      </c>
    </row>
    <row r="64">
      <c r="A64" t="inlineStr">
        <is>
          <t>Hampton Twp</t>
        </is>
      </c>
      <c r="B64" s="17" t="n">
        <v>0.01</v>
      </c>
      <c r="C64" t="inlineStr">
        <is>
          <t>Hampton Township School District</t>
        </is>
      </c>
      <c r="D64" s="17" t="n">
        <v>0.005</v>
      </c>
      <c r="E64" s="17">
        <f>B64+D64</f>
        <v/>
      </c>
      <c r="F64" s="17">
        <f>$B$5</f>
        <v/>
      </c>
      <c r="H64" s="17">
        <f>E64+F64</f>
        <v/>
      </c>
      <c r="I64" s="20">
        <f>10000*$B$6*H64</f>
        <v/>
      </c>
      <c r="J64">
        <f>COUNTIF('OK to Sell'!$W:$W,A64)</f>
        <v/>
      </c>
      <c r="K64">
        <f>COUNTIF('Almost Ready'!$W:$W,A64)</f>
        <v/>
      </c>
    </row>
    <row r="65">
      <c r="A65" t="inlineStr">
        <is>
          <t>Harmar Twp</t>
        </is>
      </c>
      <c r="B65" s="17" t="n">
        <v>0.005</v>
      </c>
      <c r="C65" t="inlineStr">
        <is>
          <t>Allegheny Valley School District</t>
        </is>
      </c>
      <c r="D65" s="17" t="n">
        <v>0.005</v>
      </c>
      <c r="E65" s="17">
        <f>B65+D65</f>
        <v/>
      </c>
      <c r="F65" s="17">
        <f>$B$5</f>
        <v/>
      </c>
      <c r="H65" s="17">
        <f>E65+F65</f>
        <v/>
      </c>
      <c r="I65" s="20">
        <f>10000*$B$6*H65</f>
        <v/>
      </c>
      <c r="J65">
        <f>COUNTIF('OK to Sell'!$W:$W,A65)</f>
        <v/>
      </c>
      <c r="K65">
        <f>COUNTIF('Almost Ready'!$W:$W,A65)</f>
        <v/>
      </c>
    </row>
    <row r="66">
      <c r="A66" t="inlineStr">
        <is>
          <t>Harrison Twp</t>
        </is>
      </c>
      <c r="B66" s="17" t="n">
        <v>0.005</v>
      </c>
      <c r="C66" t="inlineStr">
        <is>
          <t>Highlands School District</t>
        </is>
      </c>
      <c r="D66" s="17" t="n">
        <v>0.005</v>
      </c>
      <c r="E66" s="17">
        <f>B66+D66</f>
        <v/>
      </c>
      <c r="F66" s="17">
        <f>$B$5</f>
        <v/>
      </c>
      <c r="H66" s="17">
        <f>E66+F66</f>
        <v/>
      </c>
      <c r="I66" s="20">
        <f>10000*$B$6*H66</f>
        <v/>
      </c>
      <c r="J66">
        <f>COUNTIF('OK to Sell'!$W:$W,A66)</f>
        <v/>
      </c>
      <c r="K66">
        <f>COUNTIF('Almost Ready'!$W:$W,A66)</f>
        <v/>
      </c>
    </row>
    <row r="67">
      <c r="A67" t="inlineStr">
        <is>
          <t>Haysville Boro</t>
        </is>
      </c>
      <c r="B67" s="17" t="n">
        <v>0.005</v>
      </c>
      <c r="C67" t="inlineStr">
        <is>
          <t>Quaker Valley School District</t>
        </is>
      </c>
      <c r="D67" s="17" t="n">
        <v>0.005</v>
      </c>
      <c r="E67" s="17">
        <f>B67+D67</f>
        <v/>
      </c>
      <c r="F67" s="17">
        <f>$B$5</f>
        <v/>
      </c>
      <c r="H67" s="17">
        <f>E67+F67</f>
        <v/>
      </c>
      <c r="I67" s="20">
        <f>10000*$B$6*H67</f>
        <v/>
      </c>
      <c r="J67">
        <f>COUNTIF('OK to Sell'!$W:$W,A67)</f>
        <v/>
      </c>
      <c r="K67">
        <f>COUNTIF('Almost Ready'!$W:$W,A67)</f>
        <v/>
      </c>
    </row>
    <row r="68">
      <c r="A68" t="inlineStr">
        <is>
          <t>Heidelberg Boro</t>
        </is>
      </c>
      <c r="B68" s="17" t="n">
        <v>0.005</v>
      </c>
      <c r="C68" t="inlineStr">
        <is>
          <t>Chartiers Valley School District</t>
        </is>
      </c>
      <c r="D68" s="17" t="n">
        <v>0.005</v>
      </c>
      <c r="E68" s="17">
        <f>B68+D68</f>
        <v/>
      </c>
      <c r="F68" s="17">
        <f>$B$5</f>
        <v/>
      </c>
      <c r="H68" s="17">
        <f>E68+F68</f>
        <v/>
      </c>
      <c r="I68" s="20">
        <f>10000*$B$6*H68</f>
        <v/>
      </c>
      <c r="J68">
        <f>COUNTIF('OK to Sell'!$W:$W,A68)</f>
        <v/>
      </c>
      <c r="K68">
        <f>COUNTIF('Almost Ready'!$W:$W,A68)</f>
        <v/>
      </c>
    </row>
    <row r="69">
      <c r="A69" t="inlineStr">
        <is>
          <t>Homestead Boro</t>
        </is>
      </c>
      <c r="B69" s="17" t="n">
        <v>0.005</v>
      </c>
      <c r="C69" t="inlineStr">
        <is>
          <t>Steel Valley School District</t>
        </is>
      </c>
      <c r="D69" s="17" t="n">
        <v>0.005</v>
      </c>
      <c r="E69" s="17">
        <f>B69+D69</f>
        <v/>
      </c>
      <c r="F69" s="17">
        <f>$B$5</f>
        <v/>
      </c>
      <c r="H69" s="17">
        <f>E69+F69</f>
        <v/>
      </c>
      <c r="I69" s="20">
        <f>10000*$B$6*H69</f>
        <v/>
      </c>
      <c r="J69">
        <f>COUNTIF('OK to Sell'!$W:$W,A69)</f>
        <v/>
      </c>
      <c r="K69">
        <f>COUNTIF('Almost Ready'!$W:$W,A69)</f>
        <v/>
      </c>
    </row>
    <row r="70">
      <c r="A70" t="inlineStr">
        <is>
          <t>Indiana Twp</t>
        </is>
      </c>
      <c r="B70" s="17" t="n">
        <v>0.005</v>
      </c>
      <c r="C70" t="inlineStr">
        <is>
          <t>Fox Chapel Area School District</t>
        </is>
      </c>
      <c r="D70" s="17" t="n">
        <v>0.005</v>
      </c>
      <c r="E70" s="17">
        <f>B70+D70</f>
        <v/>
      </c>
      <c r="F70" s="17">
        <f>$B$5</f>
        <v/>
      </c>
      <c r="H70" s="17">
        <f>E70+F70</f>
        <v/>
      </c>
      <c r="I70" s="20">
        <f>10000*$B$6*H70</f>
        <v/>
      </c>
      <c r="J70">
        <f>COUNTIF('OK to Sell'!$W:$W,A70)</f>
        <v/>
      </c>
      <c r="K70">
        <f>COUNTIF('Almost Ready'!$W:$W,A70)</f>
        <v/>
      </c>
    </row>
    <row r="71">
      <c r="A71" t="inlineStr">
        <is>
          <t>Ingram Boro</t>
        </is>
      </c>
      <c r="B71" s="17" t="n">
        <v>0.005</v>
      </c>
      <c r="C71" t="inlineStr">
        <is>
          <t>Montour School District</t>
        </is>
      </c>
      <c r="D71" s="17" t="n">
        <v>0.005</v>
      </c>
      <c r="E71" s="17">
        <f>B71+D71</f>
        <v/>
      </c>
      <c r="F71" s="17">
        <f>$B$5</f>
        <v/>
      </c>
      <c r="H71" s="17">
        <f>E71+F71</f>
        <v/>
      </c>
      <c r="I71" s="20">
        <f>10000*$B$6*H71</f>
        <v/>
      </c>
      <c r="J71">
        <f>COUNTIF('OK to Sell'!$W:$W,A71)</f>
        <v/>
      </c>
      <c r="K71">
        <f>COUNTIF('Almost Ready'!$W:$W,A71)</f>
        <v/>
      </c>
    </row>
    <row r="72">
      <c r="A72" t="inlineStr">
        <is>
          <t>Jefferson Hills Boro</t>
        </is>
      </c>
      <c r="B72" s="17" t="n">
        <v>0.005</v>
      </c>
      <c r="C72" t="inlineStr">
        <is>
          <t>West Jefferson Hills School District</t>
        </is>
      </c>
      <c r="D72" s="17" t="n">
        <v>0.005</v>
      </c>
      <c r="E72" s="17">
        <f>B72+D72</f>
        <v/>
      </c>
      <c r="F72" s="17">
        <f>$B$5</f>
        <v/>
      </c>
      <c r="H72" s="17">
        <f>E72+F72</f>
        <v/>
      </c>
      <c r="I72" s="20">
        <f>10000*$B$6*H72</f>
        <v/>
      </c>
      <c r="J72">
        <f>COUNTIF('OK to Sell'!$W:$W,A72)</f>
        <v/>
      </c>
      <c r="K72">
        <f>COUNTIF('Almost Ready'!$W:$W,A72)</f>
        <v/>
      </c>
    </row>
    <row r="73">
      <c r="A73" t="inlineStr">
        <is>
          <t>Kennedy Twp</t>
        </is>
      </c>
      <c r="B73" s="17" t="n">
        <v>0.005</v>
      </c>
      <c r="C73" t="inlineStr">
        <is>
          <t>Montour School District</t>
        </is>
      </c>
      <c r="D73" s="17" t="n">
        <v>0.005</v>
      </c>
      <c r="E73" s="17">
        <f>B73+D73</f>
        <v/>
      </c>
      <c r="F73" s="17">
        <f>$B$5</f>
        <v/>
      </c>
      <c r="H73" s="17">
        <f>E73+F73</f>
        <v/>
      </c>
      <c r="I73" s="20">
        <f>10000*$B$6*H73</f>
        <v/>
      </c>
      <c r="J73">
        <f>COUNTIF('OK to Sell'!$W:$W,A73)</f>
        <v/>
      </c>
      <c r="K73">
        <f>COUNTIF('Almost Ready'!$W:$W,A73)</f>
        <v/>
      </c>
    </row>
    <row r="74">
      <c r="A74" t="inlineStr">
        <is>
          <t>Kilbuck Twp</t>
        </is>
      </c>
      <c r="B74" s="17" t="n">
        <v>0.005</v>
      </c>
      <c r="C74" t="inlineStr">
        <is>
          <t>Avonworth School District</t>
        </is>
      </c>
      <c r="D74" s="17" t="n">
        <v>0.005</v>
      </c>
      <c r="E74" s="17">
        <f>B74+D74</f>
        <v/>
      </c>
      <c r="F74" s="17">
        <f>$B$5</f>
        <v/>
      </c>
      <c r="H74" s="17">
        <f>E74+F74</f>
        <v/>
      </c>
      <c r="I74" s="20">
        <f>10000*$B$6*H74</f>
        <v/>
      </c>
      <c r="J74">
        <f>COUNTIF('OK to Sell'!$W:$W,A74)</f>
        <v/>
      </c>
      <c r="K74">
        <f>COUNTIF('Almost Ready'!$W:$W,A74)</f>
        <v/>
      </c>
    </row>
    <row r="75">
      <c r="A75" t="inlineStr">
        <is>
          <t>Leet Twp</t>
        </is>
      </c>
      <c r="B75" s="17" t="n">
        <v>0.005</v>
      </c>
      <c r="C75" t="inlineStr">
        <is>
          <t>Quaker Valley School District</t>
        </is>
      </c>
      <c r="D75" s="17" t="n">
        <v>0.005</v>
      </c>
      <c r="E75" s="17">
        <f>B75+D75</f>
        <v/>
      </c>
      <c r="F75" s="17">
        <f>$B$5</f>
        <v/>
      </c>
      <c r="H75" s="17">
        <f>E75+F75</f>
        <v/>
      </c>
      <c r="I75" s="20">
        <f>10000*$B$6*H75</f>
        <v/>
      </c>
      <c r="J75">
        <f>COUNTIF('OK to Sell'!$W:$W,A75)</f>
        <v/>
      </c>
      <c r="K75">
        <f>COUNTIF('Almost Ready'!$W:$W,A75)</f>
        <v/>
      </c>
    </row>
    <row r="76">
      <c r="A76" t="inlineStr">
        <is>
          <t>Leetsdale Boro</t>
        </is>
      </c>
      <c r="B76" s="17" t="n">
        <v>0.005</v>
      </c>
      <c r="C76" t="inlineStr">
        <is>
          <t>Quaker Valley School District</t>
        </is>
      </c>
      <c r="D76" s="17" t="n">
        <v>0.005</v>
      </c>
      <c r="E76" s="17">
        <f>B76+D76</f>
        <v/>
      </c>
      <c r="F76" s="17">
        <f>$B$5</f>
        <v/>
      </c>
      <c r="H76" s="17">
        <f>E76+F76</f>
        <v/>
      </c>
      <c r="I76" s="20">
        <f>10000*$B$6*H76</f>
        <v/>
      </c>
      <c r="J76">
        <f>COUNTIF('OK to Sell'!$W:$W,A76)</f>
        <v/>
      </c>
      <c r="K76">
        <f>COUNTIF('Almost Ready'!$W:$W,A76)</f>
        <v/>
      </c>
    </row>
    <row r="77">
      <c r="A77" t="inlineStr">
        <is>
          <t>Liberty Boro</t>
        </is>
      </c>
      <c r="B77" s="17" t="n">
        <v>0.005</v>
      </c>
      <c r="C77" t="inlineStr">
        <is>
          <t>South Allegheny School District</t>
        </is>
      </c>
      <c r="D77" s="17" t="n">
        <v>0.005</v>
      </c>
      <c r="E77" s="17">
        <f>B77+D77</f>
        <v/>
      </c>
      <c r="F77" s="17">
        <f>$B$5</f>
        <v/>
      </c>
      <c r="H77" s="17">
        <f>E77+F77</f>
        <v/>
      </c>
      <c r="I77" s="20">
        <f>10000*$B$6*H77</f>
        <v/>
      </c>
      <c r="J77">
        <f>COUNTIF('OK to Sell'!$W:$W,A77)</f>
        <v/>
      </c>
      <c r="K77">
        <f>COUNTIF('Almost Ready'!$W:$W,A77)</f>
        <v/>
      </c>
    </row>
    <row r="78">
      <c r="A78" t="inlineStr">
        <is>
          <t>Lincoln Boro</t>
        </is>
      </c>
      <c r="B78" s="17" t="n">
        <v>0.005</v>
      </c>
      <c r="C78" t="inlineStr">
        <is>
          <t>South Allegheny School District</t>
        </is>
      </c>
      <c r="D78" s="17" t="n">
        <v>0.005</v>
      </c>
      <c r="E78" s="17">
        <f>B78+D78</f>
        <v/>
      </c>
      <c r="F78" s="17">
        <f>$B$5</f>
        <v/>
      </c>
      <c r="H78" s="17">
        <f>E78+F78</f>
        <v/>
      </c>
      <c r="I78" s="20">
        <f>10000*$B$6*H78</f>
        <v/>
      </c>
      <c r="J78">
        <f>COUNTIF('OK to Sell'!$W:$W,A78)</f>
        <v/>
      </c>
      <c r="K78">
        <f>COUNTIF('Almost Ready'!$W:$W,A78)</f>
        <v/>
      </c>
    </row>
    <row r="79">
      <c r="A79" t="inlineStr">
        <is>
          <t>Marshall Twp</t>
        </is>
      </c>
      <c r="B79" s="17" t="n">
        <v>0.005</v>
      </c>
      <c r="C79" t="inlineStr">
        <is>
          <t>North Allegheny School District</t>
        </is>
      </c>
      <c r="D79" s="17" t="n">
        <v>0.005</v>
      </c>
      <c r="E79" s="17">
        <f>B79+D79</f>
        <v/>
      </c>
      <c r="F79" s="17">
        <f>$B$5</f>
        <v/>
      </c>
      <c r="H79" s="17">
        <f>E79+F79</f>
        <v/>
      </c>
      <c r="I79" s="20">
        <f>10000*$B$6*H79</f>
        <v/>
      </c>
      <c r="J79">
        <f>COUNTIF('OK to Sell'!$W:$W,A79)</f>
        <v/>
      </c>
      <c r="K79">
        <f>COUNTIF('Almost Ready'!$W:$W,A79)</f>
        <v/>
      </c>
    </row>
    <row r="80">
      <c r="A80" t="inlineStr">
        <is>
          <t>McCandless Twp</t>
        </is>
      </c>
      <c r="B80" s="17" t="n">
        <v>0.01</v>
      </c>
      <c r="C80" t="inlineStr">
        <is>
          <t>North Allegheny School District</t>
        </is>
      </c>
      <c r="D80" s="17" t="n">
        <v>0.005</v>
      </c>
      <c r="E80" s="17">
        <f>B80+D80</f>
        <v/>
      </c>
      <c r="F80" s="17">
        <f>$B$5</f>
        <v/>
      </c>
      <c r="H80" s="17">
        <f>E80+F80</f>
        <v/>
      </c>
      <c r="I80" s="20">
        <f>10000*$B$6*H80</f>
        <v/>
      </c>
      <c r="J80">
        <f>COUNTIF('OK to Sell'!$W:$W,A80)</f>
        <v/>
      </c>
      <c r="K80">
        <f>COUNTIF('Almost Ready'!$W:$W,A80)</f>
        <v/>
      </c>
    </row>
    <row r="81">
      <c r="A81" t="inlineStr">
        <is>
          <t>McDonald Boro</t>
        </is>
      </c>
      <c r="B81" s="17" t="n">
        <v>0.005</v>
      </c>
      <c r="C81" t="inlineStr">
        <is>
          <t>Fort Cherry School District</t>
        </is>
      </c>
      <c r="D81" s="17" t="n">
        <v>0.005</v>
      </c>
      <c r="E81" s="17">
        <f>B81+D81</f>
        <v/>
      </c>
      <c r="F81" s="17">
        <f>$B$5</f>
        <v/>
      </c>
      <c r="H81" s="17">
        <f>E81+F81</f>
        <v/>
      </c>
      <c r="I81" s="20">
        <f>10000*$B$6*H81</f>
        <v/>
      </c>
      <c r="J81">
        <f>COUNTIF('OK to Sell'!$W:$W,A81)</f>
        <v/>
      </c>
      <c r="K81">
        <f>COUNTIF('Almost Ready'!$W:$W,A81)</f>
        <v/>
      </c>
    </row>
    <row r="82">
      <c r="A82" t="inlineStr">
        <is>
          <t>McKeesport City</t>
        </is>
      </c>
      <c r="B82" s="17" t="n">
        <v>0.015</v>
      </c>
      <c r="C82" t="inlineStr">
        <is>
          <t>McKeesport Area School District</t>
        </is>
      </c>
      <c r="D82" s="17" t="n">
        <v>0.005</v>
      </c>
      <c r="E82" s="17">
        <f>B82+D82</f>
        <v/>
      </c>
      <c r="F82" s="17">
        <f>$B$5</f>
        <v/>
      </c>
      <c r="H82" s="17">
        <f>E82+F82</f>
        <v/>
      </c>
      <c r="I82" s="20">
        <f>10000*$B$6*H82</f>
        <v/>
      </c>
      <c r="J82">
        <f>COUNTIF('OK to Sell'!$W:$W,A82)</f>
        <v/>
      </c>
      <c r="K82">
        <f>COUNTIF('Almost Ready'!$W:$W,A82)</f>
        <v/>
      </c>
    </row>
    <row r="83">
      <c r="A83" t="inlineStr">
        <is>
          <t>McKees Rocks Boro</t>
        </is>
      </c>
      <c r="B83" s="17" t="n">
        <v>0.005</v>
      </c>
      <c r="C83" t="inlineStr">
        <is>
          <t>Sto-Rox School District</t>
        </is>
      </c>
      <c r="D83" s="17" t="n">
        <v>0.005</v>
      </c>
      <c r="E83" s="17">
        <f>B83+D83</f>
        <v/>
      </c>
      <c r="F83" s="17">
        <f>$B$5</f>
        <v/>
      </c>
      <c r="H83" s="17">
        <f>E83+F83</f>
        <v/>
      </c>
      <c r="I83" s="20">
        <f>10000*$B$6*H83</f>
        <v/>
      </c>
      <c r="J83">
        <f>COUNTIF('OK to Sell'!$W:$W,A83)</f>
        <v/>
      </c>
      <c r="K83">
        <f>COUNTIF('Almost Ready'!$W:$W,A83)</f>
        <v/>
      </c>
    </row>
    <row r="84">
      <c r="A84" t="inlineStr">
        <is>
          <t>Millvale Boro</t>
        </is>
      </c>
      <c r="B84" s="17" t="n">
        <v>0.005</v>
      </c>
      <c r="C84" t="inlineStr">
        <is>
          <t>Shaler Area School District</t>
        </is>
      </c>
      <c r="D84" s="17" t="n">
        <v>0.005</v>
      </c>
      <c r="E84" s="17">
        <f>B84+D84</f>
        <v/>
      </c>
      <c r="F84" s="17">
        <f>$B$5</f>
        <v/>
      </c>
      <c r="H84" s="17">
        <f>E84+F84</f>
        <v/>
      </c>
      <c r="I84" s="20">
        <f>10000*$B$6*H84</f>
        <v/>
      </c>
      <c r="J84">
        <f>COUNTIF('OK to Sell'!$W:$W,A84)</f>
        <v/>
      </c>
      <c r="K84">
        <f>COUNTIF('Almost Ready'!$W:$W,A84)</f>
        <v/>
      </c>
    </row>
    <row r="85">
      <c r="A85" t="inlineStr">
        <is>
          <t>Monroeville Municipality</t>
        </is>
      </c>
      <c r="B85" s="17" t="n">
        <v>0.01</v>
      </c>
      <c r="C85" t="inlineStr">
        <is>
          <t>Gateway School District</t>
        </is>
      </c>
      <c r="D85" s="17" t="n">
        <v>0.005</v>
      </c>
      <c r="E85" s="17">
        <f>B85+D85</f>
        <v/>
      </c>
      <c r="F85" s="17">
        <f>$B$5</f>
        <v/>
      </c>
      <c r="H85" s="17">
        <f>E85+F85</f>
        <v/>
      </c>
      <c r="I85" s="20">
        <f>10000*$B$6*H85</f>
        <v/>
      </c>
      <c r="J85">
        <f>COUNTIF('OK to Sell'!$W:$W,A85)</f>
        <v/>
      </c>
      <c r="K85">
        <f>COUNTIF('Almost Ready'!$W:$W,A85)</f>
        <v/>
      </c>
    </row>
    <row r="86">
      <c r="A86" t="inlineStr">
        <is>
          <t>Moon Twp</t>
        </is>
      </c>
      <c r="B86" s="17" t="n">
        <v>0.005</v>
      </c>
      <c r="C86" t="inlineStr">
        <is>
          <t>Moon Area School District</t>
        </is>
      </c>
      <c r="D86" s="17" t="n">
        <v>0.005</v>
      </c>
      <c r="E86" s="17">
        <f>B86+D86</f>
        <v/>
      </c>
      <c r="F86" s="17">
        <f>$B$5</f>
        <v/>
      </c>
      <c r="H86" s="17">
        <f>E86+F86</f>
        <v/>
      </c>
      <c r="I86" s="20">
        <f>10000*$B$6*H86</f>
        <v/>
      </c>
      <c r="J86">
        <f>COUNTIF('OK to Sell'!$W:$W,A86)</f>
        <v/>
      </c>
      <c r="K86">
        <f>COUNTIF('Almost Ready'!$W:$W,A86)</f>
        <v/>
      </c>
    </row>
    <row r="87">
      <c r="A87" t="inlineStr">
        <is>
          <t>Mount Lebanon Municipality</t>
        </is>
      </c>
      <c r="B87" s="17" t="n">
        <v>0.01</v>
      </c>
      <c r="C87" t="inlineStr">
        <is>
          <t>Mt. Lebanon School District</t>
        </is>
      </c>
      <c r="D87" s="17" t="n">
        <v>0.005</v>
      </c>
      <c r="E87" s="17">
        <f>B87+D87</f>
        <v/>
      </c>
      <c r="F87" s="17">
        <f>$B$5</f>
        <v/>
      </c>
      <c r="H87" s="17">
        <f>E87+F87</f>
        <v/>
      </c>
      <c r="I87" s="20">
        <f>10000*$B$6*H87</f>
        <v/>
      </c>
      <c r="J87">
        <f>COUNTIF('OK to Sell'!$W:$W,A87)</f>
        <v/>
      </c>
      <c r="K87">
        <f>COUNTIF('Almost Ready'!$W:$W,A87)</f>
        <v/>
      </c>
    </row>
    <row r="88">
      <c r="A88" t="inlineStr">
        <is>
          <t>Mount Oliver Boro</t>
        </is>
      </c>
      <c r="B88" s="17" t="n">
        <v>0.01</v>
      </c>
      <c r="C88" t="inlineStr">
        <is>
          <t>Pittsburgh School District</t>
        </is>
      </c>
      <c r="D88" s="17" t="n">
        <v>0.01</v>
      </c>
      <c r="E88" s="17">
        <f>B88+D88</f>
        <v/>
      </c>
      <c r="F88" s="17">
        <f>$B$5</f>
        <v/>
      </c>
      <c r="G88" t="inlineStr">
        <is>
          <t>In the Pittsburgh School District (1% school rate).</t>
        </is>
      </c>
      <c r="H88" s="17">
        <f>E88+F88</f>
        <v/>
      </c>
      <c r="I88" s="20">
        <f>10000*$B$6*H88</f>
        <v/>
      </c>
      <c r="J88">
        <f>COUNTIF('OK to Sell'!$W:$W,A88)</f>
        <v/>
      </c>
      <c r="K88">
        <f>COUNTIF('Almost Ready'!$W:$W,A88)</f>
        <v/>
      </c>
    </row>
    <row r="89">
      <c r="A89" t="inlineStr">
        <is>
          <t>Munhall Boro</t>
        </is>
      </c>
      <c r="B89" s="17" t="n">
        <v>0.005</v>
      </c>
      <c r="C89" t="inlineStr">
        <is>
          <t>Steel Valley School District</t>
        </is>
      </c>
      <c r="D89" s="17" t="n">
        <v>0.005</v>
      </c>
      <c r="E89" s="17">
        <f>B89+D89</f>
        <v/>
      </c>
      <c r="F89" s="17">
        <f>$B$5</f>
        <v/>
      </c>
      <c r="H89" s="17">
        <f>E89+F89</f>
        <v/>
      </c>
      <c r="I89" s="20">
        <f>10000*$B$6*H89</f>
        <v/>
      </c>
      <c r="J89">
        <f>COUNTIF('OK to Sell'!$W:$W,A89)</f>
        <v/>
      </c>
      <c r="K89">
        <f>COUNTIF('Almost Ready'!$W:$W,A89)</f>
        <v/>
      </c>
    </row>
    <row r="90">
      <c r="A90" t="inlineStr">
        <is>
          <t>Neville Twp</t>
        </is>
      </c>
      <c r="B90" s="17" t="n">
        <v>0.005</v>
      </c>
      <c r="C90" t="inlineStr">
        <is>
          <t>Cornell School District</t>
        </is>
      </c>
      <c r="D90" s="17" t="n">
        <v>0.005</v>
      </c>
      <c r="E90" s="17">
        <f>B90+D90</f>
        <v/>
      </c>
      <c r="F90" s="17">
        <f>$B$5</f>
        <v/>
      </c>
      <c r="H90" s="17">
        <f>E90+F90</f>
        <v/>
      </c>
      <c r="I90" s="20">
        <f>10000*$B$6*H90</f>
        <v/>
      </c>
      <c r="J90">
        <f>COUNTIF('OK to Sell'!$W:$W,A90)</f>
        <v/>
      </c>
      <c r="K90">
        <f>COUNTIF('Almost Ready'!$W:$W,A90)</f>
        <v/>
      </c>
    </row>
    <row r="91">
      <c r="A91" t="inlineStr">
        <is>
          <t>North Braddock Boro</t>
        </is>
      </c>
      <c r="B91" s="17" t="n">
        <v>0.005</v>
      </c>
      <c r="C91" t="inlineStr">
        <is>
          <t>Woodland Hills School District</t>
        </is>
      </c>
      <c r="D91" s="17" t="n">
        <v>0.005</v>
      </c>
      <c r="E91" s="17">
        <f>B91+D91</f>
        <v/>
      </c>
      <c r="F91" s="17">
        <f>$B$5</f>
        <v/>
      </c>
      <c r="H91" s="17">
        <f>E91+F91</f>
        <v/>
      </c>
      <c r="I91" s="20">
        <f>10000*$B$6*H91</f>
        <v/>
      </c>
      <c r="J91">
        <f>COUNTIF('OK to Sell'!$W:$W,A91)</f>
        <v/>
      </c>
      <c r="K91">
        <f>COUNTIF('Almost Ready'!$W:$W,A91)</f>
        <v/>
      </c>
    </row>
    <row r="92">
      <c r="A92" t="inlineStr">
        <is>
          <t>North Fayette Twp</t>
        </is>
      </c>
      <c r="B92" s="17" t="n">
        <v>0.005</v>
      </c>
      <c r="C92" t="inlineStr">
        <is>
          <t>West Allegheny School District</t>
        </is>
      </c>
      <c r="D92" s="17" t="n">
        <v>0.005</v>
      </c>
      <c r="E92" s="17">
        <f>B92+D92</f>
        <v/>
      </c>
      <c r="F92" s="17">
        <f>$B$5</f>
        <v/>
      </c>
      <c r="H92" s="17">
        <f>E92+F92</f>
        <v/>
      </c>
      <c r="I92" s="20">
        <f>10000*$B$6*H92</f>
        <v/>
      </c>
      <c r="J92">
        <f>COUNTIF('OK to Sell'!$W:$W,A92)</f>
        <v/>
      </c>
      <c r="K92">
        <f>COUNTIF('Almost Ready'!$W:$W,A92)</f>
        <v/>
      </c>
    </row>
    <row r="93">
      <c r="A93" t="inlineStr">
        <is>
          <t>North Versailles Twp</t>
        </is>
      </c>
      <c r="B93" s="17" t="n">
        <v>0.005</v>
      </c>
      <c r="C93" t="inlineStr">
        <is>
          <t>East Allegheny School District</t>
        </is>
      </c>
      <c r="D93" s="17" t="n">
        <v>0.005</v>
      </c>
      <c r="E93" s="17">
        <f>B93+D93</f>
        <v/>
      </c>
      <c r="F93" s="17">
        <f>$B$5</f>
        <v/>
      </c>
      <c r="H93" s="17">
        <f>E93+F93</f>
        <v/>
      </c>
      <c r="I93" s="20">
        <f>10000*$B$6*H93</f>
        <v/>
      </c>
      <c r="J93">
        <f>COUNTIF('OK to Sell'!$W:$W,A93)</f>
        <v/>
      </c>
      <c r="K93">
        <f>COUNTIF('Almost Ready'!$W:$W,A93)</f>
        <v/>
      </c>
    </row>
    <row r="94">
      <c r="A94" t="inlineStr">
        <is>
          <t>Oakdale Boro</t>
        </is>
      </c>
      <c r="B94" s="17" t="n">
        <v>0.005</v>
      </c>
      <c r="C94" t="inlineStr">
        <is>
          <t>West Allegheny School District</t>
        </is>
      </c>
      <c r="D94" s="17" t="n">
        <v>0.005</v>
      </c>
      <c r="E94" s="17">
        <f>B94+D94</f>
        <v/>
      </c>
      <c r="F94" s="17">
        <f>$B$5</f>
        <v/>
      </c>
      <c r="H94" s="17">
        <f>E94+F94</f>
        <v/>
      </c>
      <c r="I94" s="20">
        <f>10000*$B$6*H94</f>
        <v/>
      </c>
      <c r="J94">
        <f>COUNTIF('OK to Sell'!$W:$W,A94)</f>
        <v/>
      </c>
      <c r="K94">
        <f>COUNTIF('Almost Ready'!$W:$W,A94)</f>
        <v/>
      </c>
    </row>
    <row r="95">
      <c r="A95" t="inlineStr">
        <is>
          <t>Oakmont Boro</t>
        </is>
      </c>
      <c r="B95" s="17" t="n">
        <v>0.005</v>
      </c>
      <c r="C95" t="inlineStr">
        <is>
          <t>Riverview School District</t>
        </is>
      </c>
      <c r="D95" s="17" t="n">
        <v>0.005</v>
      </c>
      <c r="E95" s="17">
        <f>B95+D95</f>
        <v/>
      </c>
      <c r="F95" s="17">
        <f>$B$5</f>
        <v/>
      </c>
      <c r="H95" s="17">
        <f>E95+F95</f>
        <v/>
      </c>
      <c r="I95" s="20">
        <f>10000*$B$6*H95</f>
        <v/>
      </c>
      <c r="J95">
        <f>COUNTIF('OK to Sell'!$W:$W,A95)</f>
        <v/>
      </c>
      <c r="K95">
        <f>COUNTIF('Almost Ready'!$W:$W,A95)</f>
        <v/>
      </c>
    </row>
    <row r="96">
      <c r="A96" t="inlineStr">
        <is>
          <t>O'Hara Twp</t>
        </is>
      </c>
      <c r="B96" s="17" t="n">
        <v>0.01</v>
      </c>
      <c r="C96" t="inlineStr">
        <is>
          <t>Fox Chapel Area School District</t>
        </is>
      </c>
      <c r="D96" s="17" t="n">
        <v>0.005</v>
      </c>
      <c r="E96" s="17">
        <f>B96+D96</f>
        <v/>
      </c>
      <c r="F96" s="17">
        <f>$B$5</f>
        <v/>
      </c>
      <c r="H96" s="17">
        <f>E96+F96</f>
        <v/>
      </c>
      <c r="I96" s="20">
        <f>10000*$B$6*H96</f>
        <v/>
      </c>
      <c r="J96">
        <f>COUNTIF('OK to Sell'!$W:$W,A96)</f>
        <v/>
      </c>
      <c r="K96">
        <f>COUNTIF('Almost Ready'!$W:$W,A96)</f>
        <v/>
      </c>
    </row>
    <row r="97">
      <c r="A97" t="inlineStr">
        <is>
          <t>Ohio Twp</t>
        </is>
      </c>
      <c r="B97" s="17" t="n">
        <v>0.005</v>
      </c>
      <c r="C97" t="inlineStr">
        <is>
          <t>Avonworth School District</t>
        </is>
      </c>
      <c r="D97" s="17" t="n">
        <v>0.005</v>
      </c>
      <c r="E97" s="17">
        <f>B97+D97</f>
        <v/>
      </c>
      <c r="F97" s="17">
        <f>$B$5</f>
        <v/>
      </c>
      <c r="H97" s="17">
        <f>E97+F97</f>
        <v/>
      </c>
      <c r="I97" s="20">
        <f>10000*$B$6*H97</f>
        <v/>
      </c>
      <c r="J97">
        <f>COUNTIF('OK to Sell'!$W:$W,A97)</f>
        <v/>
      </c>
      <c r="K97">
        <f>COUNTIF('Almost Ready'!$W:$W,A97)</f>
        <v/>
      </c>
    </row>
    <row r="98">
      <c r="A98" t="inlineStr">
        <is>
          <t>Pennsbury Village Boro</t>
        </is>
      </c>
      <c r="B98" s="17" t="n">
        <v>0.005</v>
      </c>
      <c r="C98" t="inlineStr">
        <is>
          <t>Montour School District</t>
        </is>
      </c>
      <c r="D98" s="17" t="n">
        <v>0.005</v>
      </c>
      <c r="E98" s="17">
        <f>B98+D98</f>
        <v/>
      </c>
      <c r="F98" s="17">
        <f>$B$5</f>
        <v/>
      </c>
      <c r="H98" s="17">
        <f>E98+F98</f>
        <v/>
      </c>
      <c r="I98" s="20">
        <f>10000*$B$6*H98</f>
        <v/>
      </c>
      <c r="J98">
        <f>COUNTIF('OK to Sell'!$W:$W,A98)</f>
        <v/>
      </c>
      <c r="K98">
        <f>COUNTIF('Almost Ready'!$W:$W,A98)</f>
        <v/>
      </c>
    </row>
    <row r="99">
      <c r="A99" t="inlineStr">
        <is>
          <t>Penn Hills Municipality</t>
        </is>
      </c>
      <c r="B99" s="17" t="n">
        <v>0.015</v>
      </c>
      <c r="C99" t="inlineStr">
        <is>
          <t>Penn Hills School District</t>
        </is>
      </c>
      <c r="D99" s="17" t="n">
        <v>0.005</v>
      </c>
      <c r="E99" s="17">
        <f>B99+D99</f>
        <v/>
      </c>
      <c r="F99" s="17">
        <f>$B$5</f>
        <v/>
      </c>
      <c r="H99" s="17">
        <f>E99+F99</f>
        <v/>
      </c>
      <c r="I99" s="20">
        <f>10000*$B$6*H99</f>
        <v/>
      </c>
      <c r="J99">
        <f>COUNTIF('OK to Sell'!$W:$W,A99)</f>
        <v/>
      </c>
      <c r="K99">
        <f>COUNTIF('Almost Ready'!$W:$W,A99)</f>
        <v/>
      </c>
    </row>
    <row r="100">
      <c r="A100" t="inlineStr">
        <is>
          <t>Pine Twp</t>
        </is>
      </c>
      <c r="B100" s="17" t="n">
        <v>0.01</v>
      </c>
      <c r="C100" t="inlineStr">
        <is>
          <t>Pine-Richland School District</t>
        </is>
      </c>
      <c r="D100" s="17" t="n">
        <v>0.005</v>
      </c>
      <c r="E100" s="17">
        <f>B100+D100</f>
        <v/>
      </c>
      <c r="F100" s="17">
        <f>$B$5</f>
        <v/>
      </c>
      <c r="H100" s="17">
        <f>E100+F100</f>
        <v/>
      </c>
      <c r="I100" s="20">
        <f>10000*$B$6*H100</f>
        <v/>
      </c>
      <c r="J100">
        <f>COUNTIF('OK to Sell'!$W:$W,A100)</f>
        <v/>
      </c>
      <c r="K100">
        <f>COUNTIF('Almost Ready'!$W:$W,A100)</f>
        <v/>
      </c>
    </row>
    <row r="101">
      <c r="A101" t="inlineStr">
        <is>
          <t>Pitcairn Boro</t>
        </is>
      </c>
      <c r="B101" s="17" t="n">
        <v>0.005</v>
      </c>
      <c r="C101" t="inlineStr">
        <is>
          <t>Gateway School District</t>
        </is>
      </c>
      <c r="D101" s="17" t="n">
        <v>0.005</v>
      </c>
      <c r="E101" s="17">
        <f>B101+D101</f>
        <v/>
      </c>
      <c r="F101" s="17">
        <f>$B$5</f>
        <v/>
      </c>
      <c r="H101" s="17">
        <f>E101+F101</f>
        <v/>
      </c>
      <c r="I101" s="20">
        <f>10000*$B$6*H101</f>
        <v/>
      </c>
      <c r="J101">
        <f>COUNTIF('OK to Sell'!$W:$W,A101)</f>
        <v/>
      </c>
      <c r="K101">
        <f>COUNTIF('Almost Ready'!$W:$W,A101)</f>
        <v/>
      </c>
    </row>
    <row r="102">
      <c r="A102" t="inlineStr">
        <is>
          <t>Pittsburgh City (Baldwin-Whitehall SD portion)</t>
        </is>
      </c>
      <c r="B102" s="17" t="n">
        <v>0.03</v>
      </c>
      <c r="C102" t="inlineStr">
        <is>
          <t>Baldwin-Whitehall School District</t>
        </is>
      </c>
      <c r="D102" s="17" t="n">
        <v>0.005</v>
      </c>
      <c r="E102" s="17">
        <f>B102+D102</f>
        <v/>
      </c>
      <c r="F102" s="17">
        <f>$B$5</f>
        <v/>
      </c>
      <c r="G102" t="inlineStr">
        <is>
          <t>Small part of the City inside Baldwin-Whitehall SD (e.g., parts of the 32nd Ward). Sheet defaults City parcels to 5% — confirm.</t>
        </is>
      </c>
      <c r="H102" s="17">
        <f>E102+F102</f>
        <v/>
      </c>
      <c r="I102" s="20">
        <f>10000*$B$6*H102</f>
        <v/>
      </c>
      <c r="J102">
        <f>COUNTIF('OK to Sell'!$W:$W,A102)</f>
        <v/>
      </c>
      <c r="K102">
        <f>COUNTIF('Almost Ready'!$W:$W,A102)</f>
        <v/>
      </c>
    </row>
    <row r="103">
      <c r="A103" t="inlineStr">
        <is>
          <t>Pittsburgh City (Pittsburgh SD)</t>
        </is>
      </c>
      <c r="B103" s="17" t="n">
        <v>0.03</v>
      </c>
      <c r="C103" t="inlineStr">
        <is>
          <t>Pittsburgh School District</t>
        </is>
      </c>
      <c r="D103" s="17" t="n">
        <v>0.01</v>
      </c>
      <c r="E103" s="17">
        <f>B103+D103</f>
        <v/>
      </c>
      <c r="F103" s="17">
        <f>$B$5</f>
        <v/>
      </c>
      <c r="H103" s="17">
        <f>E103+F103</f>
        <v/>
      </c>
      <c r="I103" s="20">
        <f>10000*$B$6*H103</f>
        <v/>
      </c>
      <c r="J103">
        <f>COUNTIF('OK to Sell'!$W:$W,A103)</f>
        <v/>
      </c>
      <c r="K103">
        <f>COUNTIF('Almost Ready'!$W:$W,A103)</f>
        <v/>
      </c>
    </row>
    <row r="104">
      <c r="A104" t="inlineStr">
        <is>
          <t>Pleasant Hills Boro</t>
        </is>
      </c>
      <c r="B104" s="17" t="n">
        <v>0.005</v>
      </c>
      <c r="C104" t="inlineStr">
        <is>
          <t>West Jefferson Hills School District</t>
        </is>
      </c>
      <c r="D104" s="17" t="n">
        <v>0.005</v>
      </c>
      <c r="E104" s="17">
        <f>B104+D104</f>
        <v/>
      </c>
      <c r="F104" s="17">
        <f>$B$5</f>
        <v/>
      </c>
      <c r="H104" s="17">
        <f>E104+F104</f>
        <v/>
      </c>
      <c r="I104" s="20">
        <f>10000*$B$6*H104</f>
        <v/>
      </c>
      <c r="J104">
        <f>COUNTIF('OK to Sell'!$W:$W,A104)</f>
        <v/>
      </c>
      <c r="K104">
        <f>COUNTIF('Almost Ready'!$W:$W,A104)</f>
        <v/>
      </c>
    </row>
    <row r="105">
      <c r="A105" t="inlineStr">
        <is>
          <t>Plum Boro</t>
        </is>
      </c>
      <c r="B105" s="17" t="n">
        <v>0.005</v>
      </c>
      <c r="C105" t="inlineStr">
        <is>
          <t>Plum Borough School District</t>
        </is>
      </c>
      <c r="D105" s="17" t="n">
        <v>0.005</v>
      </c>
      <c r="E105" s="17">
        <f>B105+D105</f>
        <v/>
      </c>
      <c r="F105" s="17">
        <f>$B$5</f>
        <v/>
      </c>
      <c r="H105" s="17">
        <f>E105+F105</f>
        <v/>
      </c>
      <c r="I105" s="20">
        <f>10000*$B$6*H105</f>
        <v/>
      </c>
      <c r="J105">
        <f>COUNTIF('OK to Sell'!$W:$W,A105)</f>
        <v/>
      </c>
      <c r="K105">
        <f>COUNTIF('Almost Ready'!$W:$W,A105)</f>
        <v/>
      </c>
    </row>
    <row r="106">
      <c r="A106" t="inlineStr">
        <is>
          <t>Port Vue Boro</t>
        </is>
      </c>
      <c r="B106" s="17" t="n">
        <v>0.005</v>
      </c>
      <c r="C106" t="inlineStr">
        <is>
          <t>South Allegheny School District</t>
        </is>
      </c>
      <c r="D106" s="17" t="n">
        <v>0.005</v>
      </c>
      <c r="E106" s="17">
        <f>B106+D106</f>
        <v/>
      </c>
      <c r="F106" s="17">
        <f>$B$5</f>
        <v/>
      </c>
      <c r="H106" s="17">
        <f>E106+F106</f>
        <v/>
      </c>
      <c r="I106" s="20">
        <f>10000*$B$6*H106</f>
        <v/>
      </c>
      <c r="J106">
        <f>COUNTIF('OK to Sell'!$W:$W,A106)</f>
        <v/>
      </c>
      <c r="K106">
        <f>COUNTIF('Almost Ready'!$W:$W,A106)</f>
        <v/>
      </c>
    </row>
    <row r="107">
      <c r="A107" t="inlineStr">
        <is>
          <t>Rankin Boro</t>
        </is>
      </c>
      <c r="B107" s="17" t="n">
        <v>0.005</v>
      </c>
      <c r="C107" t="inlineStr">
        <is>
          <t>Woodland Hills School District</t>
        </is>
      </c>
      <c r="D107" s="17" t="n">
        <v>0.005</v>
      </c>
      <c r="E107" s="17">
        <f>B107+D107</f>
        <v/>
      </c>
      <c r="F107" s="17">
        <f>$B$5</f>
        <v/>
      </c>
      <c r="H107" s="17">
        <f>E107+F107</f>
        <v/>
      </c>
      <c r="I107" s="20">
        <f>10000*$B$6*H107</f>
        <v/>
      </c>
      <c r="J107">
        <f>COUNTIF('OK to Sell'!$W:$W,A107)</f>
        <v/>
      </c>
      <c r="K107">
        <f>COUNTIF('Almost Ready'!$W:$W,A107)</f>
        <v/>
      </c>
    </row>
    <row r="108">
      <c r="A108" t="inlineStr">
        <is>
          <t>Reserve Twp</t>
        </is>
      </c>
      <c r="B108" s="17" t="n">
        <v>0.005</v>
      </c>
      <c r="C108" t="inlineStr">
        <is>
          <t>Shaler Area School District</t>
        </is>
      </c>
      <c r="D108" s="17" t="n">
        <v>0.005</v>
      </c>
      <c r="E108" s="17">
        <f>B108+D108</f>
        <v/>
      </c>
      <c r="F108" s="17">
        <f>$B$5</f>
        <v/>
      </c>
      <c r="H108" s="17">
        <f>E108+F108</f>
        <v/>
      </c>
      <c r="I108" s="20">
        <f>10000*$B$6*H108</f>
        <v/>
      </c>
      <c r="J108">
        <f>COUNTIF('OK to Sell'!$W:$W,A108)</f>
        <v/>
      </c>
      <c r="K108">
        <f>COUNTIF('Almost Ready'!$W:$W,A108)</f>
        <v/>
      </c>
    </row>
    <row r="109">
      <c r="A109" t="inlineStr">
        <is>
          <t>Richland Twp</t>
        </is>
      </c>
      <c r="B109" s="17" t="n">
        <v>0.005</v>
      </c>
      <c r="C109" t="inlineStr">
        <is>
          <t>Pine-Richland School District</t>
        </is>
      </c>
      <c r="D109" s="17" t="n">
        <v>0.005</v>
      </c>
      <c r="E109" s="17">
        <f>B109+D109</f>
        <v/>
      </c>
      <c r="F109" s="17">
        <f>$B$5</f>
        <v/>
      </c>
      <c r="H109" s="17">
        <f>E109+F109</f>
        <v/>
      </c>
      <c r="I109" s="20">
        <f>10000*$B$6*H109</f>
        <v/>
      </c>
      <c r="J109">
        <f>COUNTIF('OK to Sell'!$W:$W,A109)</f>
        <v/>
      </c>
      <c r="K109">
        <f>COUNTIF('Almost Ready'!$W:$W,A109)</f>
        <v/>
      </c>
    </row>
    <row r="110">
      <c r="A110" t="inlineStr">
        <is>
          <t>Robinson Twp</t>
        </is>
      </c>
      <c r="B110" s="17" t="n">
        <v>0.005</v>
      </c>
      <c r="C110" t="inlineStr">
        <is>
          <t>Montour School District</t>
        </is>
      </c>
      <c r="D110" s="17" t="n">
        <v>0.005</v>
      </c>
      <c r="E110" s="17">
        <f>B110+D110</f>
        <v/>
      </c>
      <c r="F110" s="17">
        <f>$B$5</f>
        <v/>
      </c>
      <c r="H110" s="17">
        <f>E110+F110</f>
        <v/>
      </c>
      <c r="I110" s="20">
        <f>10000*$B$6*H110</f>
        <v/>
      </c>
      <c r="J110">
        <f>COUNTIF('OK to Sell'!$W:$W,A110)</f>
        <v/>
      </c>
      <c r="K110">
        <f>COUNTIF('Almost Ready'!$W:$W,A110)</f>
        <v/>
      </c>
    </row>
    <row r="111">
      <c r="A111" t="inlineStr">
        <is>
          <t>Ross Twp</t>
        </is>
      </c>
      <c r="B111" s="17" t="n">
        <v>0.005</v>
      </c>
      <c r="C111" t="inlineStr">
        <is>
          <t>North Hills School District</t>
        </is>
      </c>
      <c r="D111" s="17" t="n">
        <v>0.005</v>
      </c>
      <c r="E111" s="17">
        <f>B111+D111</f>
        <v/>
      </c>
      <c r="F111" s="17">
        <f>$B$5</f>
        <v/>
      </c>
      <c r="H111" s="17">
        <f>E111+F111</f>
        <v/>
      </c>
      <c r="I111" s="20">
        <f>10000*$B$6*H111</f>
        <v/>
      </c>
      <c r="J111">
        <f>COUNTIF('OK to Sell'!$W:$W,A111)</f>
        <v/>
      </c>
      <c r="K111">
        <f>COUNTIF('Almost Ready'!$W:$W,A111)</f>
        <v/>
      </c>
    </row>
    <row r="112">
      <c r="A112" t="inlineStr">
        <is>
          <t>Rosslyn Farms Boro</t>
        </is>
      </c>
      <c r="B112" s="17" t="n">
        <v>0.005</v>
      </c>
      <c r="C112" t="inlineStr">
        <is>
          <t>Carlynton School District</t>
        </is>
      </c>
      <c r="D112" s="17" t="n">
        <v>0.005</v>
      </c>
      <c r="E112" s="17">
        <f>B112+D112</f>
        <v/>
      </c>
      <c r="F112" s="17">
        <f>$B$5</f>
        <v/>
      </c>
      <c r="H112" s="17">
        <f>E112+F112</f>
        <v/>
      </c>
      <c r="I112" s="20">
        <f>10000*$B$6*H112</f>
        <v/>
      </c>
      <c r="J112">
        <f>COUNTIF('OK to Sell'!$W:$W,A112)</f>
        <v/>
      </c>
      <c r="K112">
        <f>COUNTIF('Almost Ready'!$W:$W,A112)</f>
        <v/>
      </c>
    </row>
    <row r="113">
      <c r="A113" t="inlineStr">
        <is>
          <t>Scott Twp</t>
        </is>
      </c>
      <c r="B113" s="17" t="n">
        <v>0.005</v>
      </c>
      <c r="C113" t="inlineStr">
        <is>
          <t>Chartiers Valley School District</t>
        </is>
      </c>
      <c r="D113" s="17" t="n">
        <v>0.005</v>
      </c>
      <c r="E113" s="17">
        <f>B113+D113</f>
        <v/>
      </c>
      <c r="F113" s="17">
        <f>$B$5</f>
        <v/>
      </c>
      <c r="H113" s="17">
        <f>E113+F113</f>
        <v/>
      </c>
      <c r="I113" s="20">
        <f>10000*$B$6*H113</f>
        <v/>
      </c>
      <c r="J113">
        <f>COUNTIF('OK to Sell'!$W:$W,A113)</f>
        <v/>
      </c>
      <c r="K113">
        <f>COUNTIF('Almost Ready'!$W:$W,A113)</f>
        <v/>
      </c>
    </row>
    <row r="114">
      <c r="A114" t="inlineStr">
        <is>
          <t>Sewickley Boro</t>
        </is>
      </c>
      <c r="B114" s="17" t="n">
        <v>0.005</v>
      </c>
      <c r="C114" t="inlineStr">
        <is>
          <t>Quaker Valley School District</t>
        </is>
      </c>
      <c r="D114" s="17" t="n">
        <v>0.005</v>
      </c>
      <c r="E114" s="17">
        <f>B114+D114</f>
        <v/>
      </c>
      <c r="F114" s="17">
        <f>$B$5</f>
        <v/>
      </c>
      <c r="H114" s="17">
        <f>E114+F114</f>
        <v/>
      </c>
      <c r="I114" s="20">
        <f>10000*$B$6*H114</f>
        <v/>
      </c>
      <c r="J114">
        <f>COUNTIF('OK to Sell'!$W:$W,A114)</f>
        <v/>
      </c>
      <c r="K114">
        <f>COUNTIF('Almost Ready'!$W:$W,A114)</f>
        <v/>
      </c>
    </row>
    <row r="115">
      <c r="A115" t="inlineStr">
        <is>
          <t>Sewickley Heights Boro</t>
        </is>
      </c>
      <c r="B115" s="17" t="n">
        <v>0.005</v>
      </c>
      <c r="C115" t="inlineStr">
        <is>
          <t>Quaker Valley School District</t>
        </is>
      </c>
      <c r="D115" s="17" t="n">
        <v>0.005</v>
      </c>
      <c r="E115" s="17">
        <f>B115+D115</f>
        <v/>
      </c>
      <c r="F115" s="17">
        <f>$B$5</f>
        <v/>
      </c>
      <c r="H115" s="17">
        <f>E115+F115</f>
        <v/>
      </c>
      <c r="I115" s="20">
        <f>10000*$B$6*H115</f>
        <v/>
      </c>
      <c r="J115">
        <f>COUNTIF('OK to Sell'!$W:$W,A115)</f>
        <v/>
      </c>
      <c r="K115">
        <f>COUNTIF('Almost Ready'!$W:$W,A115)</f>
        <v/>
      </c>
    </row>
    <row r="116">
      <c r="A116" t="inlineStr">
        <is>
          <t>Sewickley Hills Boro</t>
        </is>
      </c>
      <c r="B116" s="17" t="n">
        <v>0.005</v>
      </c>
      <c r="C116" t="inlineStr">
        <is>
          <t>Quaker Valley School District</t>
        </is>
      </c>
      <c r="D116" s="17" t="n">
        <v>0.005</v>
      </c>
      <c r="E116" s="17">
        <f>B116+D116</f>
        <v/>
      </c>
      <c r="F116" s="17">
        <f>$B$5</f>
        <v/>
      </c>
      <c r="H116" s="17">
        <f>E116+F116</f>
        <v/>
      </c>
      <c r="I116" s="20">
        <f>10000*$B$6*H116</f>
        <v/>
      </c>
      <c r="J116">
        <f>COUNTIF('OK to Sell'!$W:$W,A116)</f>
        <v/>
      </c>
      <c r="K116">
        <f>COUNTIF('Almost Ready'!$W:$W,A116)</f>
        <v/>
      </c>
    </row>
    <row r="117">
      <c r="A117" t="inlineStr">
        <is>
          <t>Shaler Twp</t>
        </is>
      </c>
      <c r="B117" s="17" t="n">
        <v>0.005</v>
      </c>
      <c r="C117" t="inlineStr">
        <is>
          <t>Shaler Area School District</t>
        </is>
      </c>
      <c r="D117" s="17" t="n">
        <v>0.005</v>
      </c>
      <c r="E117" s="17">
        <f>B117+D117</f>
        <v/>
      </c>
      <c r="F117" s="17">
        <f>$B$5</f>
        <v/>
      </c>
      <c r="H117" s="17">
        <f>E117+F117</f>
        <v/>
      </c>
      <c r="I117" s="20">
        <f>10000*$B$6*H117</f>
        <v/>
      </c>
      <c r="J117">
        <f>COUNTIF('OK to Sell'!$W:$W,A117)</f>
        <v/>
      </c>
      <c r="K117">
        <f>COUNTIF('Almost Ready'!$W:$W,A117)</f>
        <v/>
      </c>
    </row>
    <row r="118">
      <c r="A118" t="inlineStr">
        <is>
          <t>Sharpsburg Boro</t>
        </is>
      </c>
      <c r="B118" s="17" t="n">
        <v>0.005</v>
      </c>
      <c r="C118" t="inlineStr">
        <is>
          <t>Fox Chapel Area School District</t>
        </is>
      </c>
      <c r="D118" s="17" t="n">
        <v>0.005</v>
      </c>
      <c r="E118" s="17">
        <f>B118+D118</f>
        <v/>
      </c>
      <c r="F118" s="17">
        <f>$B$5</f>
        <v/>
      </c>
      <c r="H118" s="17">
        <f>E118+F118</f>
        <v/>
      </c>
      <c r="I118" s="20">
        <f>10000*$B$6*H118</f>
        <v/>
      </c>
      <c r="J118">
        <f>COUNTIF('OK to Sell'!$W:$W,A118)</f>
        <v/>
      </c>
      <c r="K118">
        <f>COUNTIF('Almost Ready'!$W:$W,A118)</f>
        <v/>
      </c>
    </row>
    <row r="119">
      <c r="A119" t="inlineStr">
        <is>
          <t>South Fayette Twp</t>
        </is>
      </c>
      <c r="B119" s="17" t="n">
        <v>0.005</v>
      </c>
      <c r="C119" t="inlineStr">
        <is>
          <t>South Fayette Township School District</t>
        </is>
      </c>
      <c r="D119" s="17" t="n">
        <v>0.005</v>
      </c>
      <c r="E119" s="17">
        <f>B119+D119</f>
        <v/>
      </c>
      <c r="F119" s="17">
        <f>$B$5</f>
        <v/>
      </c>
      <c r="H119" s="17">
        <f>E119+F119</f>
        <v/>
      </c>
      <c r="I119" s="20">
        <f>10000*$B$6*H119</f>
        <v/>
      </c>
      <c r="J119">
        <f>COUNTIF('OK to Sell'!$W:$W,A119)</f>
        <v/>
      </c>
      <c r="K119">
        <f>COUNTIF('Almost Ready'!$W:$W,A119)</f>
        <v/>
      </c>
    </row>
    <row r="120">
      <c r="A120" t="inlineStr">
        <is>
          <t>South Park Twp</t>
        </is>
      </c>
      <c r="B120" s="17" t="n">
        <v>0.005</v>
      </c>
      <c r="C120" t="inlineStr">
        <is>
          <t>South Park School District</t>
        </is>
      </c>
      <c r="D120" s="17" t="n">
        <v>0.005</v>
      </c>
      <c r="E120" s="17">
        <f>B120+D120</f>
        <v/>
      </c>
      <c r="F120" s="17">
        <f>$B$5</f>
        <v/>
      </c>
      <c r="H120" s="17">
        <f>E120+F120</f>
        <v/>
      </c>
      <c r="I120" s="20">
        <f>10000*$B$6*H120</f>
        <v/>
      </c>
      <c r="J120">
        <f>COUNTIF('OK to Sell'!$W:$W,A120)</f>
        <v/>
      </c>
      <c r="K120">
        <f>COUNTIF('Almost Ready'!$W:$W,A120)</f>
        <v/>
      </c>
    </row>
    <row r="121">
      <c r="A121" t="inlineStr">
        <is>
          <t>South Versailles Twp</t>
        </is>
      </c>
      <c r="B121" s="17" t="n">
        <v>0.005</v>
      </c>
      <c r="C121" t="inlineStr">
        <is>
          <t>McKeesport Area School District</t>
        </is>
      </c>
      <c r="D121" s="17" t="n">
        <v>0.005</v>
      </c>
      <c r="E121" s="17">
        <f>B121+D121</f>
        <v/>
      </c>
      <c r="F121" s="17">
        <f>$B$5</f>
        <v/>
      </c>
      <c r="H121" s="17">
        <f>E121+F121</f>
        <v/>
      </c>
      <c r="I121" s="20">
        <f>10000*$B$6*H121</f>
        <v/>
      </c>
      <c r="J121">
        <f>COUNTIF('OK to Sell'!$W:$W,A121)</f>
        <v/>
      </c>
      <c r="K121">
        <f>COUNTIF('Almost Ready'!$W:$W,A121)</f>
        <v/>
      </c>
    </row>
    <row r="122">
      <c r="A122" t="inlineStr">
        <is>
          <t>Springdale Boro</t>
        </is>
      </c>
      <c r="B122" s="17" t="n">
        <v>0.005</v>
      </c>
      <c r="C122" t="inlineStr">
        <is>
          <t>Allegheny Valley School District</t>
        </is>
      </c>
      <c r="D122" s="17" t="n">
        <v>0.005</v>
      </c>
      <c r="E122" s="17">
        <f>B122+D122</f>
        <v/>
      </c>
      <c r="F122" s="17">
        <f>$B$5</f>
        <v/>
      </c>
      <c r="H122" s="17">
        <f>E122+F122</f>
        <v/>
      </c>
      <c r="I122" s="20">
        <f>10000*$B$6*H122</f>
        <v/>
      </c>
      <c r="J122">
        <f>COUNTIF('OK to Sell'!$W:$W,A122)</f>
        <v/>
      </c>
      <c r="K122">
        <f>COUNTIF('Almost Ready'!$W:$W,A122)</f>
        <v/>
      </c>
    </row>
    <row r="123">
      <c r="A123" t="inlineStr">
        <is>
          <t>Springdale Twp</t>
        </is>
      </c>
      <c r="B123" s="17" t="n">
        <v>0.005</v>
      </c>
      <c r="C123" t="inlineStr">
        <is>
          <t>Allegheny Valley School District</t>
        </is>
      </c>
      <c r="D123" s="17" t="n">
        <v>0.005</v>
      </c>
      <c r="E123" s="17">
        <f>B123+D123</f>
        <v/>
      </c>
      <c r="F123" s="17">
        <f>$B$5</f>
        <v/>
      </c>
      <c r="H123" s="17">
        <f>E123+F123</f>
        <v/>
      </c>
      <c r="I123" s="20">
        <f>10000*$B$6*H123</f>
        <v/>
      </c>
      <c r="J123">
        <f>COUNTIF('OK to Sell'!$W:$W,A123)</f>
        <v/>
      </c>
      <c r="K123">
        <f>COUNTIF('Almost Ready'!$W:$W,A123)</f>
        <v/>
      </c>
    </row>
    <row r="124">
      <c r="A124" t="inlineStr">
        <is>
          <t>Stowe Twp</t>
        </is>
      </c>
      <c r="B124" s="17" t="n">
        <v>0.005</v>
      </c>
      <c r="C124" t="inlineStr">
        <is>
          <t>Sto-Rox School District</t>
        </is>
      </c>
      <c r="D124" s="17" t="n">
        <v>0.005</v>
      </c>
      <c r="E124" s="17">
        <f>B124+D124</f>
        <v/>
      </c>
      <c r="F124" s="17">
        <f>$B$5</f>
        <v/>
      </c>
      <c r="H124" s="17">
        <f>E124+F124</f>
        <v/>
      </c>
      <c r="I124" s="20">
        <f>10000*$B$6*H124</f>
        <v/>
      </c>
      <c r="J124">
        <f>COUNTIF('OK to Sell'!$W:$W,A124)</f>
        <v/>
      </c>
      <c r="K124">
        <f>COUNTIF('Almost Ready'!$W:$W,A124)</f>
        <v/>
      </c>
    </row>
    <row r="125">
      <c r="A125" t="inlineStr">
        <is>
          <t>Swissvale Boro</t>
        </is>
      </c>
      <c r="B125" s="17" t="n">
        <v>0.005</v>
      </c>
      <c r="C125" t="inlineStr">
        <is>
          <t>Woodland Hills School District</t>
        </is>
      </c>
      <c r="D125" s="17" t="n">
        <v>0.005</v>
      </c>
      <c r="E125" s="17">
        <f>B125+D125</f>
        <v/>
      </c>
      <c r="F125" s="17">
        <f>$B$5</f>
        <v/>
      </c>
      <c r="H125" s="17">
        <f>E125+F125</f>
        <v/>
      </c>
      <c r="I125" s="20">
        <f>10000*$B$6*H125</f>
        <v/>
      </c>
      <c r="J125">
        <f>COUNTIF('OK to Sell'!$W:$W,A125)</f>
        <v/>
      </c>
      <c r="K125">
        <f>COUNTIF('Almost Ready'!$W:$W,A125)</f>
        <v/>
      </c>
    </row>
    <row r="126">
      <c r="A126" t="inlineStr">
        <is>
          <t>Tarentum Boro</t>
        </is>
      </c>
      <c r="B126" s="17" t="n">
        <v>0.005</v>
      </c>
      <c r="C126" t="inlineStr">
        <is>
          <t>Highlands School District</t>
        </is>
      </c>
      <c r="D126" s="17" t="n">
        <v>0.005</v>
      </c>
      <c r="E126" s="17">
        <f>B126+D126</f>
        <v/>
      </c>
      <c r="F126" s="17">
        <f>$B$5</f>
        <v/>
      </c>
      <c r="H126" s="17">
        <f>E126+F126</f>
        <v/>
      </c>
      <c r="I126" s="20">
        <f>10000*$B$6*H126</f>
        <v/>
      </c>
      <c r="J126">
        <f>COUNTIF('OK to Sell'!$W:$W,A126)</f>
        <v/>
      </c>
      <c r="K126">
        <f>COUNTIF('Almost Ready'!$W:$W,A126)</f>
        <v/>
      </c>
    </row>
    <row r="127">
      <c r="A127" t="inlineStr">
        <is>
          <t>Thornburg Boro</t>
        </is>
      </c>
      <c r="B127" s="17" t="n">
        <v>0.005</v>
      </c>
      <c r="C127" t="inlineStr">
        <is>
          <t>Montour School District</t>
        </is>
      </c>
      <c r="D127" s="17" t="n">
        <v>0.005</v>
      </c>
      <c r="E127" s="17">
        <f>B127+D127</f>
        <v/>
      </c>
      <c r="F127" s="17">
        <f>$B$5</f>
        <v/>
      </c>
      <c r="H127" s="17">
        <f>E127+F127</f>
        <v/>
      </c>
      <c r="I127" s="20">
        <f>10000*$B$6*H127</f>
        <v/>
      </c>
      <c r="J127">
        <f>COUNTIF('OK to Sell'!$W:$W,A127)</f>
        <v/>
      </c>
      <c r="K127">
        <f>COUNTIF('Almost Ready'!$W:$W,A127)</f>
        <v/>
      </c>
    </row>
    <row r="128">
      <c r="A128" t="inlineStr">
        <is>
          <t>Trafford Boro</t>
        </is>
      </c>
      <c r="B128" s="17" t="n">
        <v>0.01</v>
      </c>
      <c r="C128" t="inlineStr">
        <is>
          <t>No school realty transfer tax</t>
        </is>
      </c>
      <c r="D128" s="17" t="n">
        <v>0</v>
      </c>
      <c r="E128" s="17">
        <f>B128+D128</f>
        <v/>
      </c>
      <c r="F128" s="17">
        <f>$B$5</f>
        <v/>
      </c>
      <c r="G128" t="inlineStr">
        <is>
          <t>Mostly in Westmoreland County; no school RTT listed.</t>
        </is>
      </c>
      <c r="H128" s="17">
        <f>E128+F128</f>
        <v/>
      </c>
      <c r="I128" s="20">
        <f>10000*$B$6*H128</f>
        <v/>
      </c>
      <c r="J128">
        <f>COUNTIF('OK to Sell'!$W:$W,A128)</f>
        <v/>
      </c>
      <c r="K128">
        <f>COUNTIF('Almost Ready'!$W:$W,A128)</f>
        <v/>
      </c>
    </row>
    <row r="129">
      <c r="A129" t="inlineStr">
        <is>
          <t>Turtle Creek Boro</t>
        </is>
      </c>
      <c r="B129" s="17" t="n">
        <v>0.005</v>
      </c>
      <c r="C129" t="inlineStr">
        <is>
          <t>Woodland Hills School District</t>
        </is>
      </c>
      <c r="D129" s="17" t="n">
        <v>0.005</v>
      </c>
      <c r="E129" s="17">
        <f>B129+D129</f>
        <v/>
      </c>
      <c r="F129" s="17">
        <f>$B$5</f>
        <v/>
      </c>
      <c r="H129" s="17">
        <f>E129+F129</f>
        <v/>
      </c>
      <c r="I129" s="20">
        <f>10000*$B$6*H129</f>
        <v/>
      </c>
      <c r="J129">
        <f>COUNTIF('OK to Sell'!$W:$W,A129)</f>
        <v/>
      </c>
      <c r="K129">
        <f>COUNTIF('Almost Ready'!$W:$W,A129)</f>
        <v/>
      </c>
    </row>
    <row r="130">
      <c r="A130" t="inlineStr">
        <is>
          <t>Upper St. Clair Twp</t>
        </is>
      </c>
      <c r="B130" s="17" t="n">
        <v>0.01</v>
      </c>
      <c r="C130" t="inlineStr">
        <is>
          <t>Upper St. Clair School District</t>
        </is>
      </c>
      <c r="D130" s="17" t="n">
        <v>0.005</v>
      </c>
      <c r="E130" s="17">
        <f>B130+D130</f>
        <v/>
      </c>
      <c r="F130" s="17">
        <f>$B$5</f>
        <v/>
      </c>
      <c r="H130" s="17">
        <f>E130+F130</f>
        <v/>
      </c>
      <c r="I130" s="20">
        <f>10000*$B$6*H130</f>
        <v/>
      </c>
      <c r="J130">
        <f>COUNTIF('OK to Sell'!$W:$W,A130)</f>
        <v/>
      </c>
      <c r="K130">
        <f>COUNTIF('Almost Ready'!$W:$W,A130)</f>
        <v/>
      </c>
    </row>
    <row r="131">
      <c r="A131" t="inlineStr">
        <is>
          <t>Versailles Boro</t>
        </is>
      </c>
      <c r="B131" s="17" t="n">
        <v>0.005</v>
      </c>
      <c r="C131" t="inlineStr">
        <is>
          <t>McKeesport Area School District</t>
        </is>
      </c>
      <c r="D131" s="17" t="n">
        <v>0.005</v>
      </c>
      <c r="E131" s="17">
        <f>B131+D131</f>
        <v/>
      </c>
      <c r="F131" s="17">
        <f>$B$5</f>
        <v/>
      </c>
      <c r="H131" s="17">
        <f>E131+F131</f>
        <v/>
      </c>
      <c r="I131" s="20">
        <f>10000*$B$6*H131</f>
        <v/>
      </c>
      <c r="J131">
        <f>COUNTIF('OK to Sell'!$W:$W,A131)</f>
        <v/>
      </c>
      <c r="K131">
        <f>COUNTIF('Almost Ready'!$W:$W,A131)</f>
        <v/>
      </c>
    </row>
    <row r="132">
      <c r="A132" t="inlineStr">
        <is>
          <t>Verona Boro</t>
        </is>
      </c>
      <c r="B132" s="17" t="n">
        <v>0.005</v>
      </c>
      <c r="C132" t="inlineStr">
        <is>
          <t>Riverview School District</t>
        </is>
      </c>
      <c r="D132" s="17" t="n">
        <v>0.005</v>
      </c>
      <c r="E132" s="17">
        <f>B132+D132</f>
        <v/>
      </c>
      <c r="F132" s="17">
        <f>$B$5</f>
        <v/>
      </c>
      <c r="H132" s="17">
        <f>E132+F132</f>
        <v/>
      </c>
      <c r="I132" s="20">
        <f>10000*$B$6*H132</f>
        <v/>
      </c>
      <c r="J132">
        <f>COUNTIF('OK to Sell'!$W:$W,A132)</f>
        <v/>
      </c>
      <c r="K132">
        <f>COUNTIF('Almost Ready'!$W:$W,A132)</f>
        <v/>
      </c>
    </row>
    <row r="133">
      <c r="A133" t="inlineStr">
        <is>
          <t>Wall Boro</t>
        </is>
      </c>
      <c r="B133" s="17" t="n">
        <v>0.005</v>
      </c>
      <c r="C133" t="inlineStr">
        <is>
          <t>East Allegheny School District</t>
        </is>
      </c>
      <c r="D133" s="17" t="n">
        <v>0.005</v>
      </c>
      <c r="E133" s="17">
        <f>B133+D133</f>
        <v/>
      </c>
      <c r="F133" s="17">
        <f>$B$5</f>
        <v/>
      </c>
      <c r="H133" s="17">
        <f>E133+F133</f>
        <v/>
      </c>
      <c r="I133" s="20">
        <f>10000*$B$6*H133</f>
        <v/>
      </c>
      <c r="J133">
        <f>COUNTIF('OK to Sell'!$W:$W,A133)</f>
        <v/>
      </c>
      <c r="K133">
        <f>COUNTIF('Almost Ready'!$W:$W,A133)</f>
        <v/>
      </c>
    </row>
    <row r="134">
      <c r="A134" t="inlineStr">
        <is>
          <t>West Deer Twp</t>
        </is>
      </c>
      <c r="B134" s="17" t="n">
        <v>0.01</v>
      </c>
      <c r="C134" t="inlineStr">
        <is>
          <t>Deer Lakes School District</t>
        </is>
      </c>
      <c r="D134" s="17" t="n">
        <v>0.005</v>
      </c>
      <c r="E134" s="17">
        <f>B134+D134</f>
        <v/>
      </c>
      <c r="F134" s="17">
        <f>$B$5</f>
        <v/>
      </c>
      <c r="H134" s="17">
        <f>E134+F134</f>
        <v/>
      </c>
      <c r="I134" s="20">
        <f>10000*$B$6*H134</f>
        <v/>
      </c>
      <c r="J134">
        <f>COUNTIF('OK to Sell'!$W:$W,A134)</f>
        <v/>
      </c>
      <c r="K134">
        <f>COUNTIF('Almost Ready'!$W:$W,A134)</f>
        <v/>
      </c>
    </row>
    <row r="135">
      <c r="A135" t="inlineStr">
        <is>
          <t>West Elizabeth Boro</t>
        </is>
      </c>
      <c r="B135" s="17" t="n">
        <v>0.005</v>
      </c>
      <c r="C135" t="inlineStr">
        <is>
          <t>West Jefferson Hills School District</t>
        </is>
      </c>
      <c r="D135" s="17" t="n">
        <v>0.005</v>
      </c>
      <c r="E135" s="17">
        <f>B135+D135</f>
        <v/>
      </c>
      <c r="F135" s="17">
        <f>$B$5</f>
        <v/>
      </c>
      <c r="H135" s="17">
        <f>E135+F135</f>
        <v/>
      </c>
      <c r="I135" s="20">
        <f>10000*$B$6*H135</f>
        <v/>
      </c>
      <c r="J135">
        <f>COUNTIF('OK to Sell'!$W:$W,A135)</f>
        <v/>
      </c>
      <c r="K135">
        <f>COUNTIF('Almost Ready'!$W:$W,A135)</f>
        <v/>
      </c>
    </row>
    <row r="136">
      <c r="A136" t="inlineStr">
        <is>
          <t>West Homestead Boro</t>
        </is>
      </c>
      <c r="B136" s="17" t="n">
        <v>0.005</v>
      </c>
      <c r="C136" t="inlineStr">
        <is>
          <t>Steel Valley School District</t>
        </is>
      </c>
      <c r="D136" s="17" t="n">
        <v>0.005</v>
      </c>
      <c r="E136" s="17">
        <f>B136+D136</f>
        <v/>
      </c>
      <c r="F136" s="17">
        <f>$B$5</f>
        <v/>
      </c>
      <c r="H136" s="17">
        <f>E136+F136</f>
        <v/>
      </c>
      <c r="I136" s="20">
        <f>10000*$B$6*H136</f>
        <v/>
      </c>
      <c r="J136">
        <f>COUNTIF('OK to Sell'!$W:$W,A136)</f>
        <v/>
      </c>
      <c r="K136">
        <f>COUNTIF('Almost Ready'!$W:$W,A136)</f>
        <v/>
      </c>
    </row>
    <row r="137">
      <c r="A137" t="inlineStr">
        <is>
          <t>West Mifflin Boro</t>
        </is>
      </c>
      <c r="B137" s="17" t="n">
        <v>0.005</v>
      </c>
      <c r="C137" t="inlineStr">
        <is>
          <t>West Mifflin Area School District</t>
        </is>
      </c>
      <c r="D137" s="17" t="n">
        <v>0.005</v>
      </c>
      <c r="E137" s="17">
        <f>B137+D137</f>
        <v/>
      </c>
      <c r="F137" s="17">
        <f>$B$5</f>
        <v/>
      </c>
      <c r="H137" s="17">
        <f>E137+F137</f>
        <v/>
      </c>
      <c r="I137" s="20">
        <f>10000*$B$6*H137</f>
        <v/>
      </c>
      <c r="J137">
        <f>COUNTIF('OK to Sell'!$W:$W,A137)</f>
        <v/>
      </c>
      <c r="K137">
        <f>COUNTIF('Almost Ready'!$W:$W,A137)</f>
        <v/>
      </c>
    </row>
    <row r="138">
      <c r="A138" t="inlineStr">
        <is>
          <t>West View Boro</t>
        </is>
      </c>
      <c r="B138" s="17" t="n">
        <v>0.005</v>
      </c>
      <c r="C138" t="inlineStr">
        <is>
          <t>North Hills School District</t>
        </is>
      </c>
      <c r="D138" s="17" t="n">
        <v>0.005</v>
      </c>
      <c r="E138" s="17">
        <f>B138+D138</f>
        <v/>
      </c>
      <c r="F138" s="17">
        <f>$B$5</f>
        <v/>
      </c>
      <c r="H138" s="17">
        <f>E138+F138</f>
        <v/>
      </c>
      <c r="I138" s="20">
        <f>10000*$B$6*H138</f>
        <v/>
      </c>
      <c r="J138">
        <f>COUNTIF('OK to Sell'!$W:$W,A138)</f>
        <v/>
      </c>
      <c r="K138">
        <f>COUNTIF('Almost Ready'!$W:$W,A138)</f>
        <v/>
      </c>
    </row>
    <row r="139">
      <c r="A139" t="inlineStr">
        <is>
          <t>Whitaker Boro</t>
        </is>
      </c>
      <c r="B139" s="17" t="n">
        <v>0.005</v>
      </c>
      <c r="C139" t="inlineStr">
        <is>
          <t>West Mifflin Area School District</t>
        </is>
      </c>
      <c r="D139" s="17" t="n">
        <v>0.005</v>
      </c>
      <c r="E139" s="17">
        <f>B139+D139</f>
        <v/>
      </c>
      <c r="F139" s="17">
        <f>$B$5</f>
        <v/>
      </c>
      <c r="H139" s="17">
        <f>E139+F139</f>
        <v/>
      </c>
      <c r="I139" s="20">
        <f>10000*$B$6*H139</f>
        <v/>
      </c>
      <c r="J139">
        <f>COUNTIF('OK to Sell'!$W:$W,A139)</f>
        <v/>
      </c>
      <c r="K139">
        <f>COUNTIF('Almost Ready'!$W:$W,A139)</f>
        <v/>
      </c>
    </row>
    <row r="140">
      <c r="A140" t="inlineStr">
        <is>
          <t>Whitehall Boro</t>
        </is>
      </c>
      <c r="B140" s="17" t="n">
        <v>0.01</v>
      </c>
      <c r="C140" t="inlineStr">
        <is>
          <t>Baldwin-Whitehall School District</t>
        </is>
      </c>
      <c r="D140" s="17" t="n">
        <v>0.005</v>
      </c>
      <c r="E140" s="17">
        <f>B140+D140</f>
        <v/>
      </c>
      <c r="F140" s="17">
        <f>$B$5</f>
        <v/>
      </c>
      <c r="H140" s="17">
        <f>E140+F140</f>
        <v/>
      </c>
      <c r="I140" s="20">
        <f>10000*$B$6*H140</f>
        <v/>
      </c>
      <c r="J140">
        <f>COUNTIF('OK to Sell'!$W:$W,A140)</f>
        <v/>
      </c>
      <c r="K140">
        <f>COUNTIF('Almost Ready'!$W:$W,A140)</f>
        <v/>
      </c>
    </row>
    <row r="141">
      <c r="A141" t="inlineStr">
        <is>
          <t>White Oak Boro</t>
        </is>
      </c>
      <c r="B141" s="17" t="n">
        <v>0.005</v>
      </c>
      <c r="C141" t="inlineStr">
        <is>
          <t>McKeesport Area School District</t>
        </is>
      </c>
      <c r="D141" s="17" t="n">
        <v>0.005</v>
      </c>
      <c r="E141" s="17">
        <f>B141+D141</f>
        <v/>
      </c>
      <c r="F141" s="17">
        <f>$B$5</f>
        <v/>
      </c>
      <c r="H141" s="17">
        <f>E141+F141</f>
        <v/>
      </c>
      <c r="I141" s="20">
        <f>10000*$B$6*H141</f>
        <v/>
      </c>
      <c r="J141">
        <f>COUNTIF('OK to Sell'!$W:$W,A141)</f>
        <v/>
      </c>
      <c r="K141">
        <f>COUNTIF('Almost Ready'!$W:$W,A141)</f>
        <v/>
      </c>
    </row>
    <row r="142">
      <c r="A142" t="inlineStr">
        <is>
          <t>Wilkins Twp</t>
        </is>
      </c>
      <c r="B142" s="17" t="n">
        <v>0.005</v>
      </c>
      <c r="C142" t="inlineStr">
        <is>
          <t>Woodland Hills School District</t>
        </is>
      </c>
      <c r="D142" s="17" t="n">
        <v>0.005</v>
      </c>
      <c r="E142" s="17">
        <f>B142+D142</f>
        <v/>
      </c>
      <c r="F142" s="17">
        <f>$B$5</f>
        <v/>
      </c>
      <c r="H142" s="17">
        <f>E142+F142</f>
        <v/>
      </c>
      <c r="I142" s="20">
        <f>10000*$B$6*H142</f>
        <v/>
      </c>
      <c r="J142">
        <f>COUNTIF('OK to Sell'!$W:$W,A142)</f>
        <v/>
      </c>
      <c r="K142">
        <f>COUNTIF('Almost Ready'!$W:$W,A142)</f>
        <v/>
      </c>
    </row>
    <row r="143">
      <c r="A143" t="inlineStr">
        <is>
          <t>Wilkinsburg Boro</t>
        </is>
      </c>
      <c r="B143" s="17" t="n">
        <v>0.005</v>
      </c>
      <c r="C143" t="inlineStr">
        <is>
          <t>Wilkinsburg School District</t>
        </is>
      </c>
      <c r="D143" s="17" t="n">
        <v>0.005</v>
      </c>
      <c r="E143" s="17">
        <f>B143+D143</f>
        <v/>
      </c>
      <c r="F143" s="17">
        <f>$B$5</f>
        <v/>
      </c>
      <c r="H143" s="17">
        <f>E143+F143</f>
        <v/>
      </c>
      <c r="I143" s="20">
        <f>10000*$B$6*H143</f>
        <v/>
      </c>
      <c r="J143">
        <f>COUNTIF('OK to Sell'!$W:$W,A143)</f>
        <v/>
      </c>
      <c r="K143">
        <f>COUNTIF('Almost Ready'!$W:$W,A143)</f>
        <v/>
      </c>
    </row>
    <row r="144">
      <c r="A144" t="inlineStr">
        <is>
          <t>Wilmerding Boro</t>
        </is>
      </c>
      <c r="B144" s="17" t="n">
        <v>0.005</v>
      </c>
      <c r="C144" t="inlineStr">
        <is>
          <t>East Allegheny School District</t>
        </is>
      </c>
      <c r="D144" s="17" t="n">
        <v>0.005</v>
      </c>
      <c r="E144" s="17">
        <f>B144+D144</f>
        <v/>
      </c>
      <c r="F144" s="17">
        <f>$B$5</f>
        <v/>
      </c>
      <c r="H144" s="17">
        <f>E144+F144</f>
        <v/>
      </c>
      <c r="I144" s="20">
        <f>10000*$B$6*H144</f>
        <v/>
      </c>
      <c r="J144">
        <f>COUNTIF('OK to Sell'!$W:$W,A144)</f>
        <v/>
      </c>
      <c r="K144">
        <f>COUNTIF('Almost Ready'!$W:$W,A144)</f>
        <v/>
      </c>
    </row>
  </sheetData>
  <autoFilter ref="A13:K144"/>
  <mergeCells count="2">
    <mergeCell ref="A2:K2"/>
    <mergeCell ref="A10:K1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cols>
    <col width="34" customWidth="1" min="1" max="1"/>
    <col width="110" customWidth="1" min="2" max="2"/>
  </cols>
  <sheetData>
    <row r="1">
      <c r="A1" s="8" t="inlineStr">
        <is>
          <t>How to read the Sheriff notes, and what each sale type means for a bidder</t>
        </is>
      </c>
      <c r="B1" s="21" t="n"/>
    </row>
    <row r="2" ht="30" customHeight="1">
      <c r="A2" s="22" t="inlineStr">
        <is>
          <t>Educational, Pennsylvania / Allegheny County context — not legal advice. Title outcomes at a sheriff sale depend on lien priority and notice; have a PA title company or real-estate attorney confirm before bidding on any specific parcel.</t>
        </is>
      </c>
    </row>
    <row r="3">
      <c r="B3" s="21" t="n"/>
    </row>
    <row r="4">
      <c r="A4" s="23" t="inlineStr">
        <is>
          <t>SALE TYPES</t>
        </is>
      </c>
      <c r="B4" s="21" t="n"/>
    </row>
    <row r="5">
      <c r="A5" t="inlineStr">
        <is>
          <t>Tax lien (Sci Fa sur tax lien)</t>
        </is>
      </c>
      <c r="B5" s="21" t="inlineStr">
        <is>
          <t>A school district, municipality or the County is enforcing unpaid real-estate tax claims through a writ of scire facias. The Cost &amp; Tax bid is the opening bid covering the claim plus costs. Which other liens are wiped out depends on priority and proper notice — do not assume "free and clear" unless there is a free &amp; clear court order.</t>
        </is>
      </c>
    </row>
    <row r="6">
      <c r="A6" t="inlineStr">
        <is>
          <t>Free &amp; clear court order (F/C O/C) + min bid</t>
        </is>
      </c>
      <c r="B6" s="21" t="inlineStr">
        <is>
          <t>The court has authorized sale free and clear of liens at the stated minimum bid, which can be far below the listed Cost &amp; Tax bid. Read the actual order on the docket to confirm scope.</t>
        </is>
      </c>
    </row>
    <row r="7">
      <c r="A7" t="inlineStr">
        <is>
          <t>Mortgage foreclosure</t>
        </is>
      </c>
      <c r="B7" s="21" t="inlineStr">
        <is>
          <t>A lender is selling under its foreclosure judgment. The Cost &amp; Tax bid is only costs and taxes; the lender can credit-bid up to its judgment (see "Reassessed damages"), so outside bidders usually need to beat the lender's announced bid. Liens senior to the mortgage can survive.</t>
        </is>
      </c>
    </row>
    <row r="8">
      <c r="A8" t="inlineStr">
        <is>
          <t>HOA / condo assessment judgment</t>
        </is>
      </c>
      <c r="B8" s="21" t="inlineStr">
        <is>
          <t>An association is executing on a money judgment for unpaid assessments (AR- case numbers). Because this is usually a junior lien, a first mortgage on the unit may survive the sale — potentially a large hidden liability. Get a title search before bidding.</t>
        </is>
      </c>
    </row>
    <row r="9">
      <c r="A9" t="inlineStr">
        <is>
          <t>Other judgment execution</t>
        </is>
      </c>
      <c r="B9" s="21" t="inlineStr">
        <is>
          <t>A creditor executing on a general money judgment (e.g., business lenders). Senior liens and mortgages typically survive.</t>
        </is>
      </c>
    </row>
    <row r="10">
      <c r="A10" t="inlineStr">
        <is>
          <t>Municipal lien</t>
        </is>
      </c>
      <c r="B10" s="21" t="inlineStr">
        <is>
          <t>A municipal claim (non-tax, e.g., sewer/water/demolition) enforced by sheriff sale.</t>
        </is>
      </c>
    </row>
    <row r="11">
      <c r="B11" s="21" t="n"/>
    </row>
    <row r="12">
      <c r="A12" s="23" t="inlineStr">
        <is>
          <t>LISTED STATUSES</t>
        </is>
      </c>
      <c r="B12" s="21" t="n"/>
    </row>
    <row r="13">
      <c r="A13" t="inlineStr">
        <is>
          <t>Active</t>
        </is>
      </c>
      <c r="B13" s="21" t="inlineStr">
        <is>
          <t>Scheduled to go to the upcoming sale — but the Sheriff will only sell if the paperwork is complete (see the four boxes and notes).</t>
        </is>
      </c>
    </row>
    <row r="14">
      <c r="A14" t="inlineStr">
        <is>
          <t>Postponed / Postponed (Waived)</t>
        </is>
      </c>
      <c r="B14" s="21" t="inlineStr">
        <is>
          <t>Moved to the date shown. 12/31/2099 = indefinite (Save Your Home program). The meaning of "(Waived)" is not stated on the list.</t>
        </is>
      </c>
    </row>
    <row r="15">
      <c r="A15" t="inlineStr">
        <is>
          <t>Stayed</t>
        </is>
      </c>
      <c r="B15" s="21" t="inlineStr">
        <is>
          <t>Sale halted (bankruptcy, payment plan, court order). "Amount realized" = money collected on the stay.</t>
        </is>
      </c>
    </row>
    <row r="16">
      <c r="A16" t="inlineStr">
        <is>
          <t>Money Made</t>
        </is>
      </c>
      <c r="B16" s="21" t="inlineStr">
        <is>
          <t>The claim was paid/satisfied; the property won't be sold.</t>
        </is>
      </c>
    </row>
    <row r="17">
      <c r="B17" s="21" t="n"/>
    </row>
    <row r="18">
      <c r="A18" s="23" t="inlineStr">
        <is>
          <t>THE FOUR BOXES</t>
        </is>
      </c>
      <c r="B18" s="21" t="n"/>
    </row>
    <row r="19">
      <c r="A19" t="inlineStr">
        <is>
          <t>Svs</t>
        </is>
      </c>
      <c r="B19" s="21" t="inlineStr">
        <is>
          <t>Service of the writ/notice on the defendant has been made.</t>
        </is>
      </c>
    </row>
    <row r="20">
      <c r="A20" t="inlineStr">
        <is>
          <t>3129.2</t>
        </is>
      </c>
      <c r="B20" s="21" t="inlineStr">
        <is>
          <t>Pa.R.C.P. 3129.2 — notice of sale (handbills, written notice to owners/lienholders, publication). Written notice must be served at least 30 days before the sale; the Sheriff rejects late ones.</t>
        </is>
      </c>
    </row>
    <row r="21">
      <c r="A21" t="inlineStr">
        <is>
          <t>3129.3</t>
        </is>
      </c>
      <c r="B21" s="21" t="inlineStr">
        <is>
          <t>Pa.R.C.P. 3129.3 — postponement of sale / new notice. Needed when a sale was postponed to this date. Often filed in the last day or two before the sale, which is why cases missing only this item are listed on Almost Ready.</t>
        </is>
      </c>
    </row>
    <row r="22">
      <c r="A22" t="inlineStr">
        <is>
          <t>OK</t>
        </is>
      </c>
      <c r="B22" s="21" t="inlineStr">
        <is>
          <t>Sheriff has everything needed and has cleared the property to sell on this date.</t>
        </is>
      </c>
    </row>
    <row r="23">
      <c r="B23" s="21" t="n"/>
    </row>
    <row r="24">
      <c r="A24" s="23" t="inlineStr">
        <is>
          <t>ABBREVIATIONS IN NOTES</t>
        </is>
      </c>
      <c r="B24" s="21" t="n"/>
    </row>
    <row r="25">
      <c r="A25" t="inlineStr">
        <is>
          <t>O/C</t>
        </is>
      </c>
      <c r="B25" s="21" t="inlineStr">
        <is>
          <t>Order of court. "NEED O/C FOR [dates]" = a court order approving the chain of postponements through those sale dates; the Sheriff rejects orders that skip a date or list them out of sequence.</t>
        </is>
      </c>
    </row>
    <row r="26">
      <c r="A26" t="inlineStr">
        <is>
          <t>BK / BKD / BKDR</t>
        </is>
      </c>
      <c r="B26" s="21" t="inlineStr">
        <is>
          <t>Bankruptcy / bankruptcy dismissal or relief-from-stay docs. A pending bankruptcy automatically stays the sale until the Sheriff receives the dismissal or relief order.</t>
        </is>
      </c>
    </row>
    <row r="27">
      <c r="A27" t="inlineStr">
        <is>
          <t>NSM ON DEF(S)</t>
        </is>
      </c>
      <c r="B27" s="21" t="inlineStr">
        <is>
          <t>No service made on the defendant(s) — proof of service still needed.</t>
        </is>
      </c>
    </row>
    <row r="28">
      <c r="A28" t="inlineStr">
        <is>
          <t>PP</t>
        </is>
      </c>
      <c r="B28" s="21" t="inlineStr">
        <is>
          <t>Postponement.</t>
        </is>
      </c>
    </row>
    <row r="29">
      <c r="A29" t="inlineStr">
        <is>
          <t>NOS</t>
        </is>
      </c>
      <c r="B29" s="21" t="inlineStr">
        <is>
          <t>Notice of sale.</t>
        </is>
      </c>
    </row>
    <row r="30">
      <c r="A30" t="inlineStr">
        <is>
          <t>SYH</t>
        </is>
      </c>
      <c r="B30" s="21" t="inlineStr">
        <is>
          <t>Save Your Home — Allegheny County foreclosure-diversion/conciliation program.</t>
        </is>
      </c>
    </row>
    <row r="31">
      <c r="A31" t="inlineStr">
        <is>
          <t>Replenishment invoice</t>
        </is>
      </c>
      <c r="B31" s="21" t="inlineStr">
        <is>
          <t>Plaintiff owes the Sheriff an additional cost deposit; the case cannot go to sale until paid.</t>
        </is>
      </c>
    </row>
    <row r="32">
      <c r="A32" t="inlineStr">
        <is>
          <t>Reassess damages</t>
        </is>
      </c>
      <c r="B32" s="21" t="inlineStr">
        <is>
          <t>Court order updating the judgment amount (the most recent figure is shown in the sheet).</t>
        </is>
      </c>
    </row>
    <row r="33">
      <c r="A33" t="inlineStr">
        <is>
          <t>Forfeited</t>
        </is>
      </c>
      <c r="B33" s="21" t="inlineStr">
        <is>
          <t>A previous winning bidder failed to pay the balance and lost the deposit; the property is being re-offered.</t>
        </is>
      </c>
    </row>
    <row r="34">
      <c r="A34" t="inlineStr">
        <is>
          <t>Handbill / short description</t>
        </is>
      </c>
      <c r="B34" s="21" t="inlineStr">
        <is>
          <t>Sale advertising materials. If late or incorrect, the Sheriff requires a postponement.</t>
        </is>
      </c>
    </row>
    <row r="35">
      <c r="A35" t="inlineStr">
        <is>
          <t>C+T</t>
        </is>
      </c>
      <c r="B35" s="21" t="inlineStr">
        <is>
          <t>Cost &amp; Tax (the opening bid).</t>
        </is>
      </c>
    </row>
    <row r="36">
      <c r="B36" s="21" t="n"/>
    </row>
    <row r="37">
      <c r="A37" s="23" t="inlineStr">
        <is>
          <t>LIEN FLAGS</t>
        </is>
      </c>
      <c r="B37" s="21" t="n"/>
    </row>
    <row r="38">
      <c r="A38" t="inlineStr">
        <is>
          <t>Federal tax lien / IRS lien</t>
        </is>
      </c>
      <c r="B38" s="21" t="inlineStr">
        <is>
          <t>Whether a federal tax lien is discharged depends on whether the United States was properly joined. When it is joined, the IRS generally keeps a right to redeem (buy back) the property after the sale (28 U.S.C. § 2410(c); IRM 5.12.5).</t>
        </is>
      </c>
    </row>
    <row r="39">
      <c r="A39" t="inlineStr">
        <is>
          <t>HOA 6-month statutory amount</t>
        </is>
      </c>
      <c r="B39" s="21" t="inlineStr">
        <is>
          <t>PA planned-community and condo statutes give associations limited priority (about six months of assessments) over a first mortgage; the rest of the HOA debt is junior.</t>
        </is>
      </c>
    </row>
    <row r="40">
      <c r="A40" t="inlineStr">
        <is>
          <t>PA DHS lien</t>
        </is>
      </c>
      <c r="B40" s="21" t="inlineStr">
        <is>
          <t>Commonwealth Dept. of Human Services lien (e.g., estate recovery). Check whether it is divested.</t>
        </is>
      </c>
    </row>
    <row r="41">
      <c r="A41" t="inlineStr">
        <is>
          <t>Land bank decree</t>
        </is>
      </c>
      <c r="B41" s="21" t="inlineStr">
        <is>
          <t>Land bank involvement noted on the case — confirm whether a land bank intends to bid or has priority before investing time.</t>
        </is>
      </c>
    </row>
    <row r="42">
      <c r="B42" s="21" t="n"/>
    </row>
    <row r="43">
      <c r="A43" s="23" t="inlineStr">
        <is>
          <t>METHOD</t>
        </is>
      </c>
      <c r="B43" s="21" t="n"/>
    </row>
    <row r="44">
      <c r="A44" t="inlineStr">
        <is>
          <t>How readiness was derived</t>
        </is>
      </c>
      <c r="B44" s="21" t="inlineStr">
        <is>
          <t>OK to Sell = Active, residential, Sheriff OK box checked, and no outstanding items in the notes other than Rule 3129.3. Almost Ready = Active, residential, Service and 3129.2 boxes checked, and the only outstanding item is Rule 3129.3 — plus "VERIFY" cases where the OK box and the notes disagree. Everything else (postponed, stayed, paid, bankruptcy, court orders or service still needed, commercial / industrial / vacant land) is left off the sheet.</t>
        </is>
      </c>
    </row>
    <row r="45">
      <c r="A45" t="inlineStr">
        <is>
          <t>Source</t>
        </is>
      </c>
      <c r="B45" s="21" t="inlineStr">
        <is>
          <t>Allegheny County Sheriff — Sale Listings PDF from sheriffalleghenycounty.com/sheriffs-sales/. The Sheriff states the binding bid list is finalized the morning of the sale; the version and print time used for the latest update are on the Overview tab.</t>
        </is>
      </c>
    </row>
    <row r="46">
      <c r="B46" s="21" t="n"/>
    </row>
    <row r="47">
      <c r="A47" s="23" t="inlineStr">
        <is>
          <t>TRANSFER TAX</t>
        </is>
      </c>
      <c r="B47" s="21" t="n"/>
    </row>
    <row r="48">
      <c r="A48" t="inlineStr">
        <is>
          <t>Realty transfer tax on a sheriff deed</t>
        </is>
      </c>
      <c r="B48" s="21" t="inlineStr">
        <is>
          <t>1% state + 1%–4% local depending on municipality and school district (2% in most suburbs, 5% in the City of Pittsburgh). On sheriff, foreclosure and tax-sale deeds the base is computed value (assessed value × CLR factor, 2.03 for 7/1/2026–6/30/2027), not the bid (61 Pa. Code § 91.135). With no seller to split it, the buyer bears it. See the Transfer Tax sheet.</t>
        </is>
      </c>
    </row>
  </sheetData>
  <mergeCells count="1">
    <mergeCell ref="A2:B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431"/>
  <sheetViews>
    <sheetView workbookViewId="0">
      <selection activeCell="A1" sqref="A1"/>
    </sheetView>
  </sheetViews>
  <sheetFormatPr baseColWidth="8" defaultRowHeight="15"/>
  <sheetData>
    <row r="1">
      <c r="A1" t="inlineStr">
        <is>
          <t>sale_id</t>
        </is>
      </c>
      <c r="B1" t="inlineStr">
        <is>
          <t>case_no</t>
        </is>
      </c>
      <c r="C1" t="inlineStr">
        <is>
          <t>address</t>
        </is>
      </c>
      <c r="D1" t="inlineStr">
        <is>
          <t>municipality</t>
        </is>
      </c>
      <c r="E1" t="inlineStr">
        <is>
          <t>status</t>
        </is>
      </c>
      <c r="F1" t="inlineStr">
        <is>
          <t>bucket</t>
        </is>
      </c>
      <c r="G1" t="inlineStr">
        <is>
          <t>bucket_reason</t>
        </is>
      </c>
      <c r="H1" t="inlineStr">
        <is>
          <t>opening_bid</t>
        </is>
      </c>
      <c r="I1" t="inlineStr">
        <is>
          <t>flags</t>
        </is>
      </c>
    </row>
    <row r="2">
      <c r="A2" t="inlineStr">
        <is>
          <t>40JUL19</t>
        </is>
      </c>
      <c r="B2" t="inlineStr">
        <is>
          <t>GD-18-001488</t>
        </is>
      </c>
      <c r="C2" t="inlineStr">
        <is>
          <t>227 Marland St</t>
        </is>
      </c>
      <c r="D2" t="inlineStr">
        <is>
          <t>Pittsburgh</t>
        </is>
      </c>
      <c r="E2" t="inlineStr">
        <is>
          <t>Postponed to 5/3/2027</t>
        </is>
      </c>
      <c r="F2" t="inlineStr">
        <is>
          <t>excluded</t>
        </is>
      </c>
      <c r="G2" t="inlineStr">
        <is>
          <t>Postponed to 5/3/2027</t>
        </is>
      </c>
      <c r="H2" t="n">
        <v>45742.95</v>
      </c>
      <c r="I2" t="inlineStr">
        <is>
          <t>Free &amp; clear order at "upset price"
Prior winning bidder forfeited (property re-offered)
Bankruptcy history: 7 filing(s)</t>
        </is>
      </c>
    </row>
    <row r="3">
      <c r="A3" t="inlineStr">
        <is>
          <t>55DEC19</t>
        </is>
      </c>
      <c r="B3" t="inlineStr">
        <is>
          <t>GD-16-010596</t>
        </is>
      </c>
      <c r="C3" t="inlineStr">
        <is>
          <t>6 Michigan Rd</t>
        </is>
      </c>
      <c r="D3" t="inlineStr">
        <is>
          <t>Penn Hills</t>
        </is>
      </c>
      <c r="E3" t="inlineStr">
        <is>
          <t>Postponed to 1/4/2027</t>
        </is>
      </c>
      <c r="F3" t="inlineStr">
        <is>
          <t>excluded</t>
        </is>
      </c>
      <c r="G3" t="inlineStr">
        <is>
          <t>Postponed to 1/4/2027</t>
        </is>
      </c>
      <c r="H3" t="n">
        <v>36514.43</v>
      </c>
      <c r="I3" t="inlineStr">
        <is>
          <t>Bankruptcy history: 3 filing(s)</t>
        </is>
      </c>
    </row>
    <row r="4">
      <c r="A4" t="inlineStr">
        <is>
          <t>9NOV21</t>
        </is>
      </c>
      <c r="B4" t="inlineStr">
        <is>
          <t>GD-20-001165</t>
        </is>
      </c>
      <c r="C4" t="inlineStr">
        <is>
          <t>109 E 18th Ave</t>
        </is>
      </c>
      <c r="D4" t="inlineStr">
        <is>
          <t>Homestead</t>
        </is>
      </c>
      <c r="E4" t="inlineStr">
        <is>
          <t>Active</t>
        </is>
      </c>
      <c r="F4" t="inlineStr">
        <is>
          <t>excluded</t>
        </is>
      </c>
      <c r="G4" t="inlineStr">
        <is>
          <t>Docs outstanding: Court order (O/C) approving postponements covering 9 sale date(s): 11/4/24, 2/3/25, 3/3/25, 7/7/25, 9/2/25, 12/1/25, 3/2/26, 7/6/26, 8/3/26</t>
        </is>
      </c>
      <c r="H4" t="n">
        <v>54086.54</v>
      </c>
      <c r="I4" t="inlineStr"/>
    </row>
    <row r="5">
      <c r="A5" t="inlineStr">
        <is>
          <t>49JAN22</t>
        </is>
      </c>
      <c r="B5" t="inlineStr">
        <is>
          <t>GD-15-007385</t>
        </is>
      </c>
      <c r="C5" t="inlineStr">
        <is>
          <t>203 E 20th Ave</t>
        </is>
      </c>
      <c r="D5" t="inlineStr">
        <is>
          <t>Munhall</t>
        </is>
      </c>
      <c r="E5" t="inlineStr">
        <is>
          <t>Active</t>
        </is>
      </c>
      <c r="F5" t="inlineStr">
        <is>
          <t>excluded</t>
        </is>
      </c>
      <c r="G5" t="inlineStr">
        <is>
          <t>Docs outstanding: Replenishment invoice must be paid; Court order (O/C) approving postponements covering 12 sale date(s): 12/2/24, 4/7/25, 5/5/25, 7/7/25, 10/6/25, 11/3/25, 2/2/26, 5/4/26, 6/1/26, 8/3/26, 9/8/26, 11/2/26; Rule 3129.3 notice of postponed sale date (for 11/2/26)</t>
        </is>
      </c>
      <c r="H5" t="n">
        <v>56115.05</v>
      </c>
      <c r="I5" t="inlineStr">
        <is>
          <t>Defense attorney has entered an appearance</t>
        </is>
      </c>
    </row>
    <row r="6">
      <c r="A6" t="inlineStr">
        <is>
          <t>51JAN22</t>
        </is>
      </c>
      <c r="B6" t="inlineStr">
        <is>
          <t>GD-19-016470</t>
        </is>
      </c>
      <c r="C6" t="inlineStr">
        <is>
          <t>4101 Superior St</t>
        </is>
      </c>
      <c r="D6" t="inlineStr">
        <is>
          <t>Munhall</t>
        </is>
      </c>
      <c r="E6" t="inlineStr">
        <is>
          <t>Postponed to 1/4/2027</t>
        </is>
      </c>
      <c r="F6" t="inlineStr">
        <is>
          <t>excluded</t>
        </is>
      </c>
      <c r="G6" t="inlineStr">
        <is>
          <t>Postponed to 1/4/2027</t>
        </is>
      </c>
      <c r="H6" t="n">
        <v>62369.21</v>
      </c>
      <c r="I6" t="inlineStr"/>
    </row>
    <row r="7">
      <c r="A7" t="inlineStr">
        <is>
          <t>89JAN22</t>
        </is>
      </c>
      <c r="B7" t="inlineStr">
        <is>
          <t>GD-16-015649</t>
        </is>
      </c>
      <c r="C7" t="inlineStr">
        <is>
          <t>3706 Home St</t>
        </is>
      </c>
      <c r="D7" t="inlineStr">
        <is>
          <t>West Mifflin</t>
        </is>
      </c>
      <c r="E7" t="inlineStr">
        <is>
          <t>Postponed to 1/4/2027</t>
        </is>
      </c>
      <c r="F7" t="inlineStr">
        <is>
          <t>excluded</t>
        </is>
      </c>
      <c r="G7" t="inlineStr">
        <is>
          <t>Postponed to 1/4/2027</t>
        </is>
      </c>
      <c r="H7" t="n">
        <v>51324.55</v>
      </c>
      <c r="I7" t="inlineStr"/>
    </row>
    <row r="8">
      <c r="A8" t="inlineStr">
        <is>
          <t>89JUN22</t>
        </is>
      </c>
      <c r="B8" t="inlineStr">
        <is>
          <t>MG-20-000017</t>
        </is>
      </c>
      <c r="C8" t="inlineStr">
        <is>
          <t>327 Greenway Dr</t>
        </is>
      </c>
      <c r="D8" t="inlineStr">
        <is>
          <t>Penn Hills</t>
        </is>
      </c>
      <c r="E8" t="inlineStr">
        <is>
          <t>Active</t>
        </is>
      </c>
      <c r="F8" t="inlineStr">
        <is>
          <t>excluded</t>
        </is>
      </c>
      <c r="G8" t="inlineStr">
        <is>
          <t>Bankruptcy dismissal / relief-from-stay docs</t>
        </is>
      </c>
      <c r="H8" t="n">
        <v>3132.68</v>
      </c>
      <c r="I8" t="inlineStr">
        <is>
          <t>Bankruptcy history: 2 filing(s)</t>
        </is>
      </c>
    </row>
    <row r="9">
      <c r="A9" t="inlineStr">
        <is>
          <t>31AUG22</t>
        </is>
      </c>
      <c r="B9" t="inlineStr">
        <is>
          <t>GD-19-008607</t>
        </is>
      </c>
      <c r="C9" t="inlineStr">
        <is>
          <t>109 Lavern St</t>
        </is>
      </c>
      <c r="D9" t="inlineStr">
        <is>
          <t>Penn Hills</t>
        </is>
      </c>
      <c r="E9" t="inlineStr">
        <is>
          <t>Postponed to 12/7/2026</t>
        </is>
      </c>
      <c r="F9" t="inlineStr">
        <is>
          <t>excluded</t>
        </is>
      </c>
      <c r="G9" t="inlineStr">
        <is>
          <t>Postponed to 12/7/2026</t>
        </is>
      </c>
      <c r="H9" t="n">
        <v>70636.94</v>
      </c>
      <c r="I9" t="inlineStr"/>
    </row>
    <row r="10">
      <c r="A10" t="inlineStr">
        <is>
          <t>5NOV22</t>
        </is>
      </c>
      <c r="B10" t="inlineStr">
        <is>
          <t>GD-20-008893</t>
        </is>
      </c>
      <c r="C10" t="inlineStr">
        <is>
          <t>428 Dennison Dr</t>
        </is>
      </c>
      <c r="D10" t="inlineStr">
        <is>
          <t>West Mifflin</t>
        </is>
      </c>
      <c r="E10" t="inlineStr">
        <is>
          <t>Active</t>
        </is>
      </c>
      <c r="F10" t="inlineStr">
        <is>
          <t>excluded</t>
        </is>
      </c>
      <c r="G10" t="inlineStr">
        <is>
          <t>Docs outstanding: Court order (O/C) approving postponements covering 15 sale date(s): 6/5/23, 3/3/25, 5/5/25, 6/2/25, 7/7/25, 8/4/25, 9/2/25, 11/3/25, 1/5/26, 4/6/26, 5/4/26, 6/1/26, 8/3/26, 9/8/26, 11/2/26</t>
        </is>
      </c>
      <c r="H10" t="n">
        <v>37741.72</v>
      </c>
      <c r="I10" t="inlineStr"/>
    </row>
    <row r="11">
      <c r="A11" t="inlineStr">
        <is>
          <t>43JAN23</t>
        </is>
      </c>
      <c r="B11" t="inlineStr">
        <is>
          <t>GD-22-005972</t>
        </is>
      </c>
      <c r="C11" t="inlineStr">
        <is>
          <t>2146 Sampson St</t>
        </is>
      </c>
      <c r="D11" t="inlineStr">
        <is>
          <t>Penn Hills</t>
        </is>
      </c>
      <c r="E11" t="inlineStr">
        <is>
          <t>Active</t>
        </is>
      </c>
      <c r="F11" t="inlineStr">
        <is>
          <t>excluded</t>
        </is>
      </c>
      <c r="G11" t="inlineStr">
        <is>
          <t>Bankruptcy dismissal / relief-from-stay docs</t>
        </is>
      </c>
      <c r="H11" t="n">
        <v>31122.59</v>
      </c>
      <c r="I11" t="inlineStr">
        <is>
          <t>Bankruptcy history: 2 filing(s)</t>
        </is>
      </c>
    </row>
    <row r="12">
      <c r="A12" t="inlineStr">
        <is>
          <t>35JUL23</t>
        </is>
      </c>
      <c r="B12" t="inlineStr">
        <is>
          <t>GD-22-013060</t>
        </is>
      </c>
      <c r="C12" t="inlineStr">
        <is>
          <t>26-28 Oak Street</t>
        </is>
      </c>
      <c r="D12" t="inlineStr">
        <is>
          <t>West Deer</t>
        </is>
      </c>
      <c r="E12" t="inlineStr">
        <is>
          <t>Active</t>
        </is>
      </c>
      <c r="F12" t="inlineStr">
        <is>
          <t>excluded</t>
        </is>
      </c>
      <c r="G12" t="inlineStr">
        <is>
          <t>Bankruptcy dismissal / relief-from-stay docs</t>
        </is>
      </c>
      <c r="H12" t="n">
        <v>44823.2</v>
      </c>
      <c r="I12" t="inlineStr">
        <is>
          <t>Bankruptcy history: 1 filing(s)</t>
        </is>
      </c>
    </row>
    <row r="13">
      <c r="A13" t="inlineStr">
        <is>
          <t>28NOV23</t>
        </is>
      </c>
      <c r="B13" t="inlineStr">
        <is>
          <t>GD-22-004165</t>
        </is>
      </c>
      <c r="C13" t="inlineStr">
        <is>
          <t>2602 Milburn Street</t>
        </is>
      </c>
      <c r="D13" t="inlineStr">
        <is>
          <t>McKeesport</t>
        </is>
      </c>
      <c r="E13" t="inlineStr">
        <is>
          <t>Active</t>
        </is>
      </c>
      <c r="F13" t="inlineStr">
        <is>
          <t>excluded</t>
        </is>
      </c>
      <c r="G13" t="inlineStr">
        <is>
          <t>Docs outstanding: Court order (O/C) approving postponements covering 11 sale date(s): 5/6/24, 7/1/24, 11/4/24, 3/3/25, 6/2/25, 9/2/25, 11/3/25, 2/2/26, 5/4/26, 8/3/26, 11/2/26; Rule 3129.3 notice of postponed sale date (for 11/2/26)</t>
        </is>
      </c>
      <c r="H13" t="n">
        <v>22299.84</v>
      </c>
      <c r="I13" t="inlineStr"/>
    </row>
    <row r="14">
      <c r="A14" t="inlineStr">
        <is>
          <t>36APR24</t>
        </is>
      </c>
      <c r="B14" t="inlineStr">
        <is>
          <t>GD-22-000743</t>
        </is>
      </c>
      <c r="C14" t="inlineStr">
        <is>
          <t>741 Michigan Avenue</t>
        </is>
      </c>
      <c r="D14" t="inlineStr">
        <is>
          <t>Glassport</t>
        </is>
      </c>
      <c r="E14" t="inlineStr">
        <is>
          <t>Postponed to 3/1/2027</t>
        </is>
      </c>
      <c r="F14" t="inlineStr">
        <is>
          <t>excluded</t>
        </is>
      </c>
      <c r="G14" t="inlineStr">
        <is>
          <t>Postponed to 3/1/2027</t>
        </is>
      </c>
      <c r="H14" t="n">
        <v>33206.67</v>
      </c>
      <c r="I14" t="inlineStr">
        <is>
          <t>Bankruptcy history: 2 filing(s)</t>
        </is>
      </c>
    </row>
    <row r="15">
      <c r="A15" t="inlineStr">
        <is>
          <t>49AUG24</t>
        </is>
      </c>
      <c r="B15" t="inlineStr">
        <is>
          <t>GD-23-008764</t>
        </is>
      </c>
      <c r="C15" t="inlineStr">
        <is>
          <t>Union Ave</t>
        </is>
      </c>
      <c r="D15" t="inlineStr">
        <is>
          <t>McKeesport</t>
        </is>
      </c>
      <c r="E15" t="inlineStr">
        <is>
          <t>Active</t>
        </is>
      </c>
      <c r="F15" t="inlineStr">
        <is>
          <t>excluded</t>
        </is>
      </c>
      <c r="G15" t="inlineStr">
        <is>
          <t>Non-residential (Vacant Land)</t>
        </is>
      </c>
      <c r="H15" t="n">
        <v>21794.65</v>
      </c>
      <c r="I15" t="inlineStr">
        <is>
          <t>Free &amp; clear order at "upset price"</t>
        </is>
      </c>
    </row>
    <row r="16">
      <c r="A16" t="inlineStr">
        <is>
          <t>2NOV24</t>
        </is>
      </c>
      <c r="B16" t="inlineStr">
        <is>
          <t>GD-23-014272</t>
        </is>
      </c>
      <c r="C16" t="inlineStr">
        <is>
          <t>61 Bellanca Avenue</t>
        </is>
      </c>
      <c r="D16" t="inlineStr">
        <is>
          <t>Brentwood</t>
        </is>
      </c>
      <c r="E16" t="inlineStr">
        <is>
          <t>Active</t>
        </is>
      </c>
      <c r="F16" t="inlineStr">
        <is>
          <t>ok</t>
        </is>
      </c>
      <c r="G16" t="inlineStr">
        <is>
          <t>Sheriff OK box checked</t>
        </is>
      </c>
      <c r="H16" t="n">
        <v>14000</v>
      </c>
      <c r="I16" t="inlineStr">
        <is>
          <t>Free &amp; clear court order, min bid $14,000.00
Bankruptcy history: 2 filing(s)</t>
        </is>
      </c>
    </row>
    <row r="17">
      <c r="A17" t="inlineStr">
        <is>
          <t>37DEC24</t>
        </is>
      </c>
      <c r="B17" t="inlineStr">
        <is>
          <t>GD-23-003880</t>
        </is>
      </c>
      <c r="C17" t="inlineStr">
        <is>
          <t>1319 S Canal Street ; 1324 Middle St</t>
        </is>
      </c>
      <c r="D17" t="inlineStr">
        <is>
          <t>Sharpsburg</t>
        </is>
      </c>
      <c r="E17" t="inlineStr">
        <is>
          <t>Active</t>
        </is>
      </c>
      <c r="F17" t="inlineStr">
        <is>
          <t>excluded</t>
        </is>
      </c>
      <c r="G17" t="inlineStr">
        <is>
          <t>Docs outstanding: Replenishment invoice must be paid; Rule 3129.3 notice of postponed sale date (for 11/2/26); Court order (O/C) approving postponements covering 7 sale date(s): 11/3/25, 1/5/26, 3/2/26, 5/4/26, 7/6/26, 9/8/26, 11/2/26</t>
        </is>
      </c>
      <c r="H17" t="n">
        <v>43057.51</v>
      </c>
      <c r="I17" t="inlineStr"/>
    </row>
    <row r="18">
      <c r="A18" t="inlineStr">
        <is>
          <t>39DEC24</t>
        </is>
      </c>
      <c r="B18" t="inlineStr">
        <is>
          <t>GD-24-004172</t>
        </is>
      </c>
      <c r="C18" t="inlineStr">
        <is>
          <t>858 Punta Gorda Ave</t>
        </is>
      </c>
      <c r="D18" t="inlineStr">
        <is>
          <t>East McKeesport</t>
        </is>
      </c>
      <c r="E18" t="inlineStr">
        <is>
          <t>Active</t>
        </is>
      </c>
      <c r="F18" t="inlineStr">
        <is>
          <t>excluded</t>
        </is>
      </c>
      <c r="G18" t="inlineStr">
        <is>
          <t>Docs outstanding: Rule 3129.3 notice of postponed sale date (for 11/2/26); Court order (O/C) approving postponements covering 2 sale date(s): 10/5/26, 11/2/26</t>
        </is>
      </c>
      <c r="H18" t="n">
        <v>25961.14</v>
      </c>
      <c r="I18" t="inlineStr"/>
    </row>
    <row r="19">
      <c r="A19" t="inlineStr">
        <is>
          <t>57DEC24</t>
        </is>
      </c>
      <c r="B19" t="inlineStr">
        <is>
          <t>GD-24-001709</t>
        </is>
      </c>
      <c r="C19" t="inlineStr">
        <is>
          <t>117 Spring Grove Road</t>
        </is>
      </c>
      <c r="D19" t="inlineStr">
        <is>
          <t>Penn Hills</t>
        </is>
      </c>
      <c r="E19" t="inlineStr">
        <is>
          <t>Active</t>
        </is>
      </c>
      <c r="F19" t="inlineStr">
        <is>
          <t>excluded</t>
        </is>
      </c>
      <c r="G19" t="inlineStr">
        <is>
          <t>Docs outstanding: Court order (O/C) approving postponements covering 1 sale date(s): 11/2/26</t>
        </is>
      </c>
      <c r="H19" t="n">
        <v>34308.17</v>
      </c>
      <c r="I19" t="inlineStr"/>
    </row>
    <row r="20">
      <c r="A20" t="inlineStr">
        <is>
          <t>86DEC24</t>
        </is>
      </c>
      <c r="B20" t="inlineStr">
        <is>
          <t>GD-17-014538</t>
        </is>
      </c>
      <c r="C20" t="inlineStr">
        <is>
          <t>1651 Ellsworth Ave</t>
        </is>
      </c>
      <c r="D20" t="inlineStr">
        <is>
          <t>Heidelberg</t>
        </is>
      </c>
      <c r="E20" t="inlineStr">
        <is>
          <t>Stayed</t>
        </is>
      </c>
      <c r="F20" t="inlineStr">
        <is>
          <t>excluded</t>
        </is>
      </c>
      <c r="G20" t="inlineStr">
        <is>
          <t>Stayed</t>
        </is>
      </c>
      <c r="H20" t="n">
        <v>49628.61</v>
      </c>
      <c r="I20" t="inlineStr">
        <is>
          <t>Bankruptcy history: 1 filing(s)</t>
        </is>
      </c>
    </row>
    <row r="21">
      <c r="A21" t="inlineStr">
        <is>
          <t>101DEC24</t>
        </is>
      </c>
      <c r="B21" t="inlineStr">
        <is>
          <t>GD-23-009031</t>
        </is>
      </c>
      <c r="C21" t="inlineStr">
        <is>
          <t>114 S 6th St</t>
        </is>
      </c>
      <c r="D21" t="inlineStr">
        <is>
          <t>Duquesne</t>
        </is>
      </c>
      <c r="E21" t="inlineStr">
        <is>
          <t>Active</t>
        </is>
      </c>
      <c r="F21" t="inlineStr">
        <is>
          <t>excluded</t>
        </is>
      </c>
      <c r="G21" t="inlineStr">
        <is>
          <t>Docs outstanding: Replenishment invoice must be paid; Rule 3129.3 notice of postponed sale date (for 11/2/26); Court order (O/C) approving postponements covering 7 sale date(s): 6/2/25, 9/2/25, 12/1/25, 2/2/26, 5/4/26, 8/3/26, 11/2/26</t>
        </is>
      </c>
      <c r="H21" t="n">
        <v>37078.04</v>
      </c>
      <c r="I21" t="inlineStr"/>
    </row>
    <row r="22">
      <c r="A22" t="inlineStr">
        <is>
          <t>21JAN25</t>
        </is>
      </c>
      <c r="B22" t="inlineStr">
        <is>
          <t>GD-23-010343</t>
        </is>
      </c>
      <c r="C22" t="inlineStr">
        <is>
          <t>931 Morton Avenue</t>
        </is>
      </c>
      <c r="D22" t="inlineStr">
        <is>
          <t>Port Vue</t>
        </is>
      </c>
      <c r="E22" t="inlineStr">
        <is>
          <t>Postponed to 5/3/2027</t>
        </is>
      </c>
      <c r="F22" t="inlineStr">
        <is>
          <t>excluded</t>
        </is>
      </c>
      <c r="G22" t="inlineStr">
        <is>
          <t>Postponed to 5/3/2027</t>
        </is>
      </c>
      <c r="H22" t="n">
        <v>26939.19</v>
      </c>
      <c r="I22" t="inlineStr"/>
    </row>
    <row r="23">
      <c r="A23" t="inlineStr">
        <is>
          <t>52JAN25</t>
        </is>
      </c>
      <c r="B23" t="inlineStr">
        <is>
          <t>GD-24-007223</t>
        </is>
      </c>
      <c r="C23" t="inlineStr">
        <is>
          <t>820 Mckee St</t>
        </is>
      </c>
      <c r="D23" t="inlineStr">
        <is>
          <t>Wilkinsburg</t>
        </is>
      </c>
      <c r="E23" t="inlineStr">
        <is>
          <t>Active</t>
        </is>
      </c>
      <c r="F23" t="inlineStr">
        <is>
          <t>excluded</t>
        </is>
      </c>
      <c r="G23" t="inlineStr">
        <is>
          <t>Docs outstanding: Court order (O/C) approving postponements covering 1 sale date(s): 11/2/26</t>
        </is>
      </c>
      <c r="H23" t="n">
        <v>39223.38</v>
      </c>
      <c r="I23" t="inlineStr">
        <is>
          <t>Bankruptcy history: 1 filing(s)</t>
        </is>
      </c>
    </row>
    <row r="24">
      <c r="A24" t="inlineStr">
        <is>
          <t>55JAN25</t>
        </is>
      </c>
      <c r="B24" t="inlineStr">
        <is>
          <t>GD-24-003710</t>
        </is>
      </c>
      <c r="C24" t="inlineStr">
        <is>
          <t>523 Delaware Ave ; 509 Monongahela Ave</t>
        </is>
      </c>
      <c r="D24" t="inlineStr">
        <is>
          <t>Glassport</t>
        </is>
      </c>
      <c r="E24" t="inlineStr">
        <is>
          <t>Stayed</t>
        </is>
      </c>
      <c r="F24" t="inlineStr">
        <is>
          <t>excluded</t>
        </is>
      </c>
      <c r="G24" t="inlineStr">
        <is>
          <t>Stayed</t>
        </is>
      </c>
      <c r="H24" t="n">
        <v>38953.12</v>
      </c>
      <c r="I24" t="inlineStr"/>
    </row>
    <row r="25">
      <c r="A25" t="inlineStr">
        <is>
          <t>71MAR25</t>
        </is>
      </c>
      <c r="B25" t="inlineStr">
        <is>
          <t>GD-23-010691</t>
        </is>
      </c>
      <c r="C25" t="inlineStr">
        <is>
          <t>7134 Doak St</t>
        </is>
      </c>
      <c r="D25" t="inlineStr">
        <is>
          <t>Penn Hills</t>
        </is>
      </c>
      <c r="E25" t="inlineStr">
        <is>
          <t>Postponed to 5/3/2027</t>
        </is>
      </c>
      <c r="F25" t="inlineStr">
        <is>
          <t>excluded</t>
        </is>
      </c>
      <c r="G25" t="inlineStr">
        <is>
          <t>Postponed to 5/3/2027</t>
        </is>
      </c>
      <c r="H25" t="n">
        <v>22646.85</v>
      </c>
      <c r="I25" t="inlineStr">
        <is>
          <t>Bankruptcy history: 1 filing(s)</t>
        </is>
      </c>
    </row>
    <row r="26">
      <c r="A26" t="inlineStr">
        <is>
          <t>26APR25</t>
        </is>
      </c>
      <c r="B26" t="inlineStr">
        <is>
          <t>MG-18-001363</t>
        </is>
      </c>
      <c r="C26" t="inlineStr">
        <is>
          <t>824 Arbordale Ln</t>
        </is>
      </c>
      <c r="D26" t="inlineStr">
        <is>
          <t>Marshall</t>
        </is>
      </c>
      <c r="E26" t="inlineStr">
        <is>
          <t>Postponed to 1/4/2027</t>
        </is>
      </c>
      <c r="F26" t="inlineStr">
        <is>
          <t>excluded</t>
        </is>
      </c>
      <c r="G26" t="inlineStr">
        <is>
          <t>Postponed to 1/4/2027</t>
        </is>
      </c>
      <c r="H26" t="n">
        <v>21512.1</v>
      </c>
      <c r="I26" t="inlineStr"/>
    </row>
    <row r="27">
      <c r="A27" t="inlineStr">
        <is>
          <t>114APR25</t>
        </is>
      </c>
      <c r="B27" t="inlineStr">
        <is>
          <t>GD-24-002249</t>
        </is>
      </c>
      <c r="C27" t="inlineStr">
        <is>
          <t>4009 Outlook Dr</t>
        </is>
      </c>
      <c r="D27" t="inlineStr">
        <is>
          <t>West Mifflin</t>
        </is>
      </c>
      <c r="E27" t="inlineStr">
        <is>
          <t>Active</t>
        </is>
      </c>
      <c r="F27" t="inlineStr">
        <is>
          <t>excluded</t>
        </is>
      </c>
      <c r="G27" t="inlineStr">
        <is>
          <t>Docs outstanding: Court order (O/C) approving postponements covering 1 sale date(s): 11/2/26; Rule 3129.3 notice of postponed sale date (for 11/2/26)</t>
        </is>
      </c>
      <c r="H27" t="n">
        <v>27924.07</v>
      </c>
      <c r="I27" t="inlineStr"/>
    </row>
    <row r="28">
      <c r="A28" t="inlineStr">
        <is>
          <t>16MAY25</t>
        </is>
      </c>
      <c r="B28" t="inlineStr">
        <is>
          <t>GD-23-009536</t>
        </is>
      </c>
      <c r="C28" t="inlineStr">
        <is>
          <t>6358 Lowell Drive</t>
        </is>
      </c>
      <c r="D28" t="inlineStr">
        <is>
          <t>Penn Hills</t>
        </is>
      </c>
      <c r="E28" t="inlineStr">
        <is>
          <t>Postponed to 1/4/2027</t>
        </is>
      </c>
      <c r="F28" t="inlineStr">
        <is>
          <t>excluded</t>
        </is>
      </c>
      <c r="G28" t="inlineStr">
        <is>
          <t>Postponed to 1/4/2027</t>
        </is>
      </c>
      <c r="H28" t="n">
        <v>44573.67</v>
      </c>
      <c r="I28" t="inlineStr">
        <is>
          <t>Bankruptcy history: 1 filing(s)</t>
        </is>
      </c>
    </row>
    <row r="29">
      <c r="A29" t="inlineStr">
        <is>
          <t>29MAY25</t>
        </is>
      </c>
      <c r="B29" t="inlineStr">
        <is>
          <t>AR-24-004832</t>
        </is>
      </c>
      <c r="C29" t="inlineStr">
        <is>
          <t>401 Beech Street</t>
        </is>
      </c>
      <c r="D29" t="inlineStr">
        <is>
          <t>Richland</t>
        </is>
      </c>
      <c r="E29" t="inlineStr">
        <is>
          <t>Active</t>
        </is>
      </c>
      <c r="F29" t="inlineStr">
        <is>
          <t>excluded</t>
        </is>
      </c>
      <c r="G29" t="inlineStr">
        <is>
          <t>Docs outstanding: Court order (O/C) approving postponements covering 1 sale date(s): 11/2/26; Rule 3129.3 notice of postponed sale date (for 11/2/26)</t>
        </is>
      </c>
      <c r="H29" t="n">
        <v>2651.15</v>
      </c>
      <c r="I29" t="inlineStr">
        <is>
          <t>Prior winning bidder forfeited (property re-offered)
Bankruptcy history: 1 filing(s)
HOA/condo judgment sale — a first mortgage may survive the sale</t>
        </is>
      </c>
    </row>
    <row r="30">
      <c r="A30" t="inlineStr">
        <is>
          <t>34MAY25</t>
        </is>
      </c>
      <c r="B30" t="inlineStr">
        <is>
          <t>GD-22-009214</t>
        </is>
      </c>
      <c r="C30" t="inlineStr">
        <is>
          <t>435-437 Freeport Rd</t>
        </is>
      </c>
      <c r="D30" t="inlineStr">
        <is>
          <t>East Deer</t>
        </is>
      </c>
      <c r="E30" t="inlineStr">
        <is>
          <t>Active</t>
        </is>
      </c>
      <c r="F30" t="inlineStr">
        <is>
          <t>excluded</t>
        </is>
      </c>
      <c r="G30" t="inlineStr">
        <is>
          <t>Docs outstanding: Court order (O/C) approving postponements covering 9 sale date(s): 2/2/26, 3/2/26, 4/6/26, 5/4/26, 7/6/26, 8/3/26, 9/8/26, 10/5/26, 11/2/26</t>
        </is>
      </c>
      <c r="H30" t="n">
        <v>40986.76</v>
      </c>
      <c r="I30" t="inlineStr"/>
    </row>
    <row r="31">
      <c r="A31" t="inlineStr">
        <is>
          <t>96MAY25</t>
        </is>
      </c>
      <c r="B31" t="inlineStr">
        <is>
          <t>GD-22-008777</t>
        </is>
      </c>
      <c r="C31" t="inlineStr">
        <is>
          <t>5186 Elmwood Dr</t>
        </is>
      </c>
      <c r="D31" t="inlineStr">
        <is>
          <t>Baldwin Boro</t>
        </is>
      </c>
      <c r="E31" t="inlineStr">
        <is>
          <t>Active</t>
        </is>
      </c>
      <c r="F31" t="inlineStr">
        <is>
          <t>excluded</t>
        </is>
      </c>
      <c r="G31" t="inlineStr">
        <is>
          <t>Docs outstanding: Rule 3129.2 notice of sale / affidavit of service; Court order (O/C) approving postponements covering 1 sale date(s): 4/17/26</t>
        </is>
      </c>
      <c r="H31" t="n">
        <v>22816.36</v>
      </c>
      <c r="I31" t="inlineStr"/>
    </row>
    <row r="32">
      <c r="A32" t="inlineStr">
        <is>
          <t>16JUN25</t>
        </is>
      </c>
      <c r="B32" t="inlineStr">
        <is>
          <t>GD-24-009484</t>
        </is>
      </c>
      <c r="C32" t="inlineStr">
        <is>
          <t>1317 New York Avenue</t>
        </is>
      </c>
      <c r="D32" t="inlineStr">
        <is>
          <t>Port Vue</t>
        </is>
      </c>
      <c r="E32" t="inlineStr">
        <is>
          <t>Active</t>
        </is>
      </c>
      <c r="F32" t="inlineStr">
        <is>
          <t>excluded</t>
        </is>
      </c>
      <c r="G32" t="inlineStr">
        <is>
          <t>Docs outstanding: Court order (O/C) approving postponements covering 1 sale date(s): 8/3/26</t>
        </is>
      </c>
      <c r="H32" t="n">
        <v>3833.01</v>
      </c>
      <c r="I32" t="inlineStr"/>
    </row>
    <row r="33">
      <c r="A33" t="inlineStr">
        <is>
          <t>106JUN25</t>
        </is>
      </c>
      <c r="B33" t="inlineStr">
        <is>
          <t>GD-22-015400</t>
        </is>
      </c>
      <c r="C33" t="inlineStr">
        <is>
          <t>545 Boquet St</t>
        </is>
      </c>
      <c r="D33" t="inlineStr">
        <is>
          <t>Carnegie</t>
        </is>
      </c>
      <c r="E33" t="inlineStr">
        <is>
          <t>Stayed</t>
        </is>
      </c>
      <c r="F33" t="inlineStr">
        <is>
          <t>excluded</t>
        </is>
      </c>
      <c r="G33" t="inlineStr">
        <is>
          <t>Stayed</t>
        </is>
      </c>
      <c r="H33" t="n">
        <v>33877.59</v>
      </c>
      <c r="I33" t="inlineStr"/>
    </row>
    <row r="34">
      <c r="A34" t="inlineStr">
        <is>
          <t>119JUN25</t>
        </is>
      </c>
      <c r="B34" t="inlineStr">
        <is>
          <t>GD-24-011281</t>
        </is>
      </c>
      <c r="C34" t="inlineStr">
        <is>
          <t>2812 Wadlow St</t>
        </is>
      </c>
      <c r="D34" t="inlineStr">
        <is>
          <t>Pittsburgh</t>
        </is>
      </c>
      <c r="E34" t="inlineStr">
        <is>
          <t>Active</t>
        </is>
      </c>
      <c r="F34" t="inlineStr">
        <is>
          <t>almost</t>
        </is>
      </c>
      <c r="G34" t="inlineStr">
        <is>
          <t>Only Rule 3129.3 outstanding</t>
        </is>
      </c>
      <c r="H34" t="n">
        <v>16622.72</v>
      </c>
      <c r="I34" t="inlineStr"/>
    </row>
    <row r="35">
      <c r="A35" t="inlineStr">
        <is>
          <t>10JUL25</t>
        </is>
      </c>
      <c r="B35" t="inlineStr">
        <is>
          <t>GD-24-008111</t>
        </is>
      </c>
      <c r="C35" t="inlineStr">
        <is>
          <t>819 Hartman Street</t>
        </is>
      </c>
      <c r="D35" t="inlineStr">
        <is>
          <t>McKeesport</t>
        </is>
      </c>
      <c r="E35" t="inlineStr">
        <is>
          <t>Active</t>
        </is>
      </c>
      <c r="F35" t="inlineStr">
        <is>
          <t>excluded</t>
        </is>
      </c>
      <c r="G35" t="inlineStr">
        <is>
          <t>Docs outstanding: Rule 3129.3 notice of postponed sale date (for 11/2/26); Court order (O/C) approving postponements covering 5 sale date(s): 12/1/25, 2/2/26, 5/4/26, 8/3/26, 11/2/26</t>
        </is>
      </c>
      <c r="H35" t="n">
        <v>25000.42</v>
      </c>
      <c r="I35" t="inlineStr"/>
    </row>
    <row r="36">
      <c r="A36" t="inlineStr">
        <is>
          <t>15JUL25</t>
        </is>
      </c>
      <c r="B36" t="inlineStr">
        <is>
          <t>MG-24-000238</t>
        </is>
      </c>
      <c r="C36" t="inlineStr">
        <is>
          <t>649 Greenlee Road</t>
        </is>
      </c>
      <c r="D36" t="inlineStr">
        <is>
          <t>Whitehall</t>
        </is>
      </c>
      <c r="E36" t="inlineStr">
        <is>
          <t>Active</t>
        </is>
      </c>
      <c r="F36" t="inlineStr">
        <is>
          <t>excluded</t>
        </is>
      </c>
      <c r="G36" t="inlineStr">
        <is>
          <t>Docs outstanding: Rule 3129.3 notice of postponed sale date (for 11/2/26); Court order (O/C) approving postponements covering 1 sale date(s): 9/8/26</t>
        </is>
      </c>
      <c r="H36" t="n">
        <v>6160.45</v>
      </c>
      <c r="I36" t="inlineStr"/>
    </row>
    <row r="37">
      <c r="A37" t="inlineStr">
        <is>
          <t>18JUL25</t>
        </is>
      </c>
      <c r="B37" t="inlineStr">
        <is>
          <t>MG-24-000230</t>
        </is>
      </c>
      <c r="C37" t="inlineStr">
        <is>
          <t>2418 Charles St</t>
        </is>
      </c>
      <c r="D37" t="inlineStr">
        <is>
          <t>Munhall</t>
        </is>
      </c>
      <c r="E37" t="inlineStr">
        <is>
          <t>Active</t>
        </is>
      </c>
      <c r="F37" t="inlineStr">
        <is>
          <t>excluded</t>
        </is>
      </c>
      <c r="G37" t="inlineStr">
        <is>
          <t>Bankruptcy dismissal / relief-from-stay docs</t>
        </is>
      </c>
      <c r="H37" t="n">
        <v>9504.040000000001</v>
      </c>
      <c r="I37" t="inlineStr">
        <is>
          <t>Bankruptcy history: 1 filing(s)</t>
        </is>
      </c>
    </row>
    <row r="38">
      <c r="A38" t="inlineStr">
        <is>
          <t>42JUL25</t>
        </is>
      </c>
      <c r="B38" t="inlineStr">
        <is>
          <t>GD-21-008104</t>
        </is>
      </c>
      <c r="C38" t="inlineStr">
        <is>
          <t>315 W 13th Ave</t>
        </is>
      </c>
      <c r="D38" t="inlineStr">
        <is>
          <t>Homestead</t>
        </is>
      </c>
      <c r="E38" t="inlineStr">
        <is>
          <t>Postponed to 12/7/2026</t>
        </is>
      </c>
      <c r="F38" t="inlineStr">
        <is>
          <t>excluded</t>
        </is>
      </c>
      <c r="G38" t="inlineStr">
        <is>
          <t>Postponed to 12/7/2026</t>
        </is>
      </c>
      <c r="H38" t="n">
        <v>42911.59</v>
      </c>
      <c r="I38" t="inlineStr"/>
    </row>
    <row r="39">
      <c r="A39" t="inlineStr">
        <is>
          <t>72JUL25</t>
        </is>
      </c>
      <c r="B39" t="inlineStr">
        <is>
          <t>GD-23-012485</t>
        </is>
      </c>
      <c r="C39" t="inlineStr">
        <is>
          <t>528 Dewey Ave</t>
        </is>
      </c>
      <c r="D39" t="inlineStr">
        <is>
          <t>Bridgeville</t>
        </is>
      </c>
      <c r="E39" t="inlineStr">
        <is>
          <t>Active</t>
        </is>
      </c>
      <c r="F39" t="inlineStr">
        <is>
          <t>excluded</t>
        </is>
      </c>
      <c r="G39" t="inlineStr">
        <is>
          <t>Non-residential (Commercial)</t>
        </is>
      </c>
      <c r="H39" t="n">
        <v>502839.51</v>
      </c>
      <c r="I39" t="inlineStr"/>
    </row>
    <row r="40">
      <c r="A40" t="inlineStr">
        <is>
          <t>85JUL25</t>
        </is>
      </c>
      <c r="B40" t="inlineStr">
        <is>
          <t>GD-24-010996</t>
        </is>
      </c>
      <c r="C40" t="inlineStr">
        <is>
          <t>1204 Washington Boulevard Rear</t>
        </is>
      </c>
      <c r="D40" t="inlineStr">
        <is>
          <t>Port Vue</t>
        </is>
      </c>
      <c r="E40" t="inlineStr">
        <is>
          <t>Active</t>
        </is>
      </c>
      <c r="F40" t="inlineStr">
        <is>
          <t>almost</t>
        </is>
      </c>
      <c r="G40" t="inlineStr">
        <is>
          <t>VERIFY – Service/3129.2/3129.3 checked, OK not yet checked, no items listed</t>
        </is>
      </c>
      <c r="H40" t="n">
        <v>24808.23</v>
      </c>
      <c r="I40" t="inlineStr">
        <is>
          <t>Bankruptcy history: 1 filing(s)</t>
        </is>
      </c>
    </row>
    <row r="41">
      <c r="A41" t="inlineStr">
        <is>
          <t>1AUG25</t>
        </is>
      </c>
      <c r="B41" t="inlineStr">
        <is>
          <t>GD-24-006939</t>
        </is>
      </c>
      <c r="C41" t="inlineStr">
        <is>
          <t>5631 Baum Boulevard ; 5607 Baum Blvd ; 420 Roup Ave</t>
        </is>
      </c>
      <c r="D41" t="inlineStr">
        <is>
          <t>Pittsburgh</t>
        </is>
      </c>
      <c r="E41" t="inlineStr">
        <is>
          <t>Active</t>
        </is>
      </c>
      <c r="F41" t="inlineStr">
        <is>
          <t>excluded</t>
        </is>
      </c>
      <c r="G41" t="inlineStr">
        <is>
          <t>Non-residential (Commercial)</t>
        </is>
      </c>
      <c r="H41" t="n">
        <v>152020.26</v>
      </c>
      <c r="I41" t="inlineStr"/>
    </row>
    <row r="42">
      <c r="A42" t="inlineStr">
        <is>
          <t>50AUG25</t>
        </is>
      </c>
      <c r="B42" t="inlineStr">
        <is>
          <t>MG-24-000428</t>
        </is>
      </c>
      <c r="C42" t="inlineStr">
        <is>
          <t>2098 North Rd ; 2098 North Road</t>
        </is>
      </c>
      <c r="D42" t="inlineStr">
        <is>
          <t>North Fayette</t>
        </is>
      </c>
      <c r="E42" t="inlineStr">
        <is>
          <t>Active</t>
        </is>
      </c>
      <c r="F42" t="inlineStr">
        <is>
          <t>excluded</t>
        </is>
      </c>
      <c r="G42" t="inlineStr">
        <is>
          <t>Handbill / short-description defect – Sheriff says sale must be postponed</t>
        </is>
      </c>
      <c r="H42" t="n">
        <v>4668.86</v>
      </c>
      <c r="I42" t="inlineStr"/>
    </row>
    <row r="43">
      <c r="A43" t="inlineStr">
        <is>
          <t>55AUG25</t>
        </is>
      </c>
      <c r="B43" t="inlineStr">
        <is>
          <t>MG-25-000026</t>
        </is>
      </c>
      <c r="C43" t="inlineStr">
        <is>
          <t>7315 Beacon Hill Drive</t>
        </is>
      </c>
      <c r="D43" t="inlineStr">
        <is>
          <t>Wilkinsburg</t>
        </is>
      </c>
      <c r="E43" t="inlineStr">
        <is>
          <t>Active</t>
        </is>
      </c>
      <c r="F43" t="inlineStr">
        <is>
          <t>excluded</t>
        </is>
      </c>
      <c r="G43" t="inlineStr">
        <is>
          <t>Handbill / short-description defect – Sheriff says sale must be postponed</t>
        </is>
      </c>
      <c r="H43" t="n">
        <v>2983.36</v>
      </c>
      <c r="I43" t="inlineStr"/>
    </row>
    <row r="44">
      <c r="A44" t="inlineStr">
        <is>
          <t>89SEP25</t>
        </is>
      </c>
      <c r="B44" t="inlineStr">
        <is>
          <t>GD-24-004499</t>
        </is>
      </c>
      <c r="C44" t="inlineStr">
        <is>
          <t>1976 Mcnary Boulevard</t>
        </is>
      </c>
      <c r="D44" t="inlineStr">
        <is>
          <t>Wilkinsburg</t>
        </is>
      </c>
      <c r="E44" t="inlineStr">
        <is>
          <t>Postponed to 12/7/2026</t>
        </is>
      </c>
      <c r="F44" t="inlineStr">
        <is>
          <t>excluded</t>
        </is>
      </c>
      <c r="G44" t="inlineStr">
        <is>
          <t>Postponed to 12/7/2026</t>
        </is>
      </c>
      <c r="H44" t="n">
        <v>15407.98</v>
      </c>
      <c r="I44" t="inlineStr"/>
    </row>
    <row r="45">
      <c r="A45" t="inlineStr">
        <is>
          <t>123SEP25</t>
        </is>
      </c>
      <c r="B45" t="inlineStr">
        <is>
          <t>GD-25-003677</t>
        </is>
      </c>
      <c r="C45" t="inlineStr">
        <is>
          <t>834 Vallevista Avenue</t>
        </is>
      </c>
      <c r="D45" t="inlineStr">
        <is>
          <t>Mount Lebanon</t>
        </is>
      </c>
      <c r="E45" t="inlineStr">
        <is>
          <t>Active</t>
        </is>
      </c>
      <c r="F45" t="inlineStr">
        <is>
          <t>excluded</t>
        </is>
      </c>
      <c r="G45" t="inlineStr">
        <is>
          <t>Bankruptcy dismissal / relief-from-stay docs</t>
        </is>
      </c>
      <c r="H45" t="n">
        <v>7424.22</v>
      </c>
      <c r="I45" t="inlineStr">
        <is>
          <t>Bankruptcy history: 1 filing(s)</t>
        </is>
      </c>
    </row>
    <row r="46">
      <c r="A46" t="inlineStr">
        <is>
          <t>3OCT25</t>
        </is>
      </c>
      <c r="B46" t="inlineStr">
        <is>
          <t>AR-24-006314</t>
        </is>
      </c>
      <c r="C46" t="inlineStr">
        <is>
          <t>229 Thornberry Drive</t>
        </is>
      </c>
      <c r="D46" t="inlineStr">
        <is>
          <t>Ross</t>
        </is>
      </c>
      <c r="E46" t="inlineStr">
        <is>
          <t>Active</t>
        </is>
      </c>
      <c r="F46" t="inlineStr">
        <is>
          <t>excluded</t>
        </is>
      </c>
      <c r="G46" t="inlineStr">
        <is>
          <t>Docs outstanding: Court order (O/C) approving postponements covering 1 sale date(s): 11/2/26</t>
        </is>
      </c>
      <c r="H46" t="n">
        <v>13130.58</v>
      </c>
      <c r="I46" t="inlineStr">
        <is>
          <t>Prior winning bidder forfeited (property re-offered)
Bankruptcy history: 1 filing(s)
HOA/condo judgment sale — a first mortgage may survive the sale</t>
        </is>
      </c>
    </row>
    <row r="47">
      <c r="A47" t="inlineStr">
        <is>
          <t>7OCT25</t>
        </is>
      </c>
      <c r="B47" t="inlineStr">
        <is>
          <t>GD-22-012869</t>
        </is>
      </c>
      <c r="C47" t="inlineStr">
        <is>
          <t>417 Allegheny Avenue</t>
        </is>
      </c>
      <c r="D47" t="inlineStr">
        <is>
          <t>Plum</t>
        </is>
      </c>
      <c r="E47" t="inlineStr">
        <is>
          <t>Active</t>
        </is>
      </c>
      <c r="F47" t="inlineStr">
        <is>
          <t>excluded</t>
        </is>
      </c>
      <c r="G47" t="inlineStr">
        <is>
          <t>Docs outstanding: Rule 3129.3 notice of postponed sale date (for 11/2/26); Court order (O/C) approving postponements covering 4 sale date(s): 4/6/26, 7/6/26, 8/3/26, 11/2/26</t>
        </is>
      </c>
      <c r="H47" t="n">
        <v>39205.94</v>
      </c>
      <c r="I47" t="inlineStr"/>
    </row>
    <row r="48">
      <c r="A48" t="inlineStr">
        <is>
          <t>16OCT25</t>
        </is>
      </c>
      <c r="B48" t="inlineStr">
        <is>
          <t>GD-25-004673</t>
        </is>
      </c>
      <c r="C48" t="inlineStr">
        <is>
          <t>4115 Ben Miller Road</t>
        </is>
      </c>
      <c r="D48" t="inlineStr">
        <is>
          <t>Richland</t>
        </is>
      </c>
      <c r="E48" t="inlineStr">
        <is>
          <t>Stayed</t>
        </is>
      </c>
      <c r="F48" t="inlineStr">
        <is>
          <t>excluded</t>
        </is>
      </c>
      <c r="G48" t="inlineStr">
        <is>
          <t>Stayed</t>
        </is>
      </c>
      <c r="H48" t="n">
        <v>4611.6</v>
      </c>
      <c r="I48" t="inlineStr">
        <is>
          <t>OK-to-sell note dated 9/8/26, not this sale – verify</t>
        </is>
      </c>
    </row>
    <row r="49">
      <c r="A49" t="inlineStr">
        <is>
          <t>17OCT25</t>
        </is>
      </c>
      <c r="B49" t="inlineStr">
        <is>
          <t>MG-23-000226</t>
        </is>
      </c>
      <c r="C49" t="inlineStr">
        <is>
          <t>1160 Mckenna Ave</t>
        </is>
      </c>
      <c r="D49" t="inlineStr">
        <is>
          <t>Pittsburgh</t>
        </is>
      </c>
      <c r="E49" t="inlineStr">
        <is>
          <t>Postponed to 1/4/2027</t>
        </is>
      </c>
      <c r="F49" t="inlineStr">
        <is>
          <t>excluded</t>
        </is>
      </c>
      <c r="G49" t="inlineStr">
        <is>
          <t>Postponed to 1/4/2027</t>
        </is>
      </c>
      <c r="H49" t="n">
        <v>7990.12</v>
      </c>
      <c r="I49" t="inlineStr"/>
    </row>
    <row r="50">
      <c r="A50" t="inlineStr">
        <is>
          <t>47OCT25</t>
        </is>
      </c>
      <c r="B50" t="inlineStr">
        <is>
          <t>GD-22-003299</t>
        </is>
      </c>
      <c r="C50" t="inlineStr">
        <is>
          <t>111 Glenwood Drive</t>
        </is>
      </c>
      <c r="D50" t="inlineStr">
        <is>
          <t>Elizabeth Twp</t>
        </is>
      </c>
      <c r="E50" t="inlineStr">
        <is>
          <t>Active</t>
        </is>
      </c>
      <c r="F50" t="inlineStr">
        <is>
          <t>excluded</t>
        </is>
      </c>
      <c r="G50" t="inlineStr">
        <is>
          <t>Docs outstanding: Court order (O/C) approving postponements covering 3 sale date(s): 3/2/26, 6/1/26, 7/6/26</t>
        </is>
      </c>
      <c r="H50" t="n">
        <v>30843.02</v>
      </c>
      <c r="I50" t="inlineStr">
        <is>
          <t>Bankruptcy history: 1 filing(s)</t>
        </is>
      </c>
    </row>
    <row r="51">
      <c r="A51" t="inlineStr">
        <is>
          <t>61OCT25</t>
        </is>
      </c>
      <c r="B51" t="inlineStr">
        <is>
          <t>GD-23-014497</t>
        </is>
      </c>
      <c r="C51" t="inlineStr">
        <is>
          <t>7326 Church Street</t>
        </is>
      </c>
      <c r="D51" t="inlineStr">
        <is>
          <t>Swissvale</t>
        </is>
      </c>
      <c r="E51" t="inlineStr">
        <is>
          <t>Active</t>
        </is>
      </c>
      <c r="F51" t="inlineStr">
        <is>
          <t>excluded</t>
        </is>
      </c>
      <c r="G51" t="inlineStr">
        <is>
          <t>Docs outstanding: Court order (O/C) approving postponements covering 2 sale date(s): 5/4/26, 11/2/26</t>
        </is>
      </c>
      <c r="H51" t="n">
        <v>19587.22</v>
      </c>
      <c r="I51" t="inlineStr"/>
    </row>
    <row r="52">
      <c r="A52" t="inlineStr">
        <is>
          <t>76OCT25</t>
        </is>
      </c>
      <c r="B52" t="inlineStr">
        <is>
          <t>GD-24-010288</t>
        </is>
      </c>
      <c r="C52" t="inlineStr">
        <is>
          <t>2529 Orlando Pl</t>
        </is>
      </c>
      <c r="D52" t="inlineStr">
        <is>
          <t>Penn Hills</t>
        </is>
      </c>
      <c r="E52" t="inlineStr">
        <is>
          <t>Active</t>
        </is>
      </c>
      <c r="F52" t="inlineStr">
        <is>
          <t>excluded</t>
        </is>
      </c>
      <c r="G52" t="inlineStr">
        <is>
          <t>Docs outstanding: Court order (O/C) approving postponements covering 1 sale date(s): 11/2/26</t>
        </is>
      </c>
      <c r="H52" t="n">
        <v>75108.75999999999</v>
      </c>
      <c r="I52" t="inlineStr"/>
    </row>
    <row r="53">
      <c r="A53" t="inlineStr">
        <is>
          <t>101OCT25</t>
        </is>
      </c>
      <c r="B53" t="inlineStr">
        <is>
          <t>MG-25-000232</t>
        </is>
      </c>
      <c r="C53" t="inlineStr">
        <is>
          <t>84 Houck Street</t>
        </is>
      </c>
      <c r="D53" t="inlineStr">
        <is>
          <t>North Versailles</t>
        </is>
      </c>
      <c r="E53" t="inlineStr">
        <is>
          <t>Active</t>
        </is>
      </c>
      <c r="F53" t="inlineStr">
        <is>
          <t>excluded</t>
        </is>
      </c>
      <c r="G53" t="inlineStr">
        <is>
          <t>Bankruptcy dismissal / relief-from-stay docs</t>
        </is>
      </c>
      <c r="H53" t="n">
        <v>3076.39</v>
      </c>
      <c r="I53" t="inlineStr">
        <is>
          <t>Bankruptcy history: 2 filing(s)</t>
        </is>
      </c>
    </row>
    <row r="54">
      <c r="A54" t="inlineStr">
        <is>
          <t>12NOV25</t>
        </is>
      </c>
      <c r="B54" t="inlineStr">
        <is>
          <t>MG-23-000977</t>
        </is>
      </c>
      <c r="C54" t="inlineStr">
        <is>
          <t>2546 Haymaker Rd , PA 15146</t>
        </is>
      </c>
      <c r="D54" t="inlineStr">
        <is>
          <t>Monroeville</t>
        </is>
      </c>
      <c r="E54" t="inlineStr">
        <is>
          <t>Postponed to 2/1/2027</t>
        </is>
      </c>
      <c r="F54" t="inlineStr">
        <is>
          <t>excluded</t>
        </is>
      </c>
      <c r="G54" t="inlineStr">
        <is>
          <t>Postponed to 2/1/2027</t>
        </is>
      </c>
      <c r="H54" t="n">
        <v>3647.99</v>
      </c>
      <c r="I54" t="inlineStr"/>
    </row>
    <row r="55">
      <c r="A55" t="inlineStr">
        <is>
          <t>21NOV25</t>
        </is>
      </c>
      <c r="B55" t="inlineStr">
        <is>
          <t>GD-20-005748</t>
        </is>
      </c>
      <c r="C55" t="inlineStr">
        <is>
          <t>1320 Louise St</t>
        </is>
      </c>
      <c r="D55" t="inlineStr">
        <is>
          <t>Munhall</t>
        </is>
      </c>
      <c r="E55" t="inlineStr">
        <is>
          <t>Active</t>
        </is>
      </c>
      <c r="F55" t="inlineStr">
        <is>
          <t>excluded</t>
        </is>
      </c>
      <c r="G55" t="inlineStr">
        <is>
          <t>Docs outstanding: Court order (O/C) approving postponements covering 4 sale date(s): 6/1/26, 8/3/26, 9/8/26, 11/2/26</t>
        </is>
      </c>
      <c r="H55" t="n">
        <v>28798.04</v>
      </c>
      <c r="I55" t="inlineStr"/>
    </row>
    <row r="56">
      <c r="A56" t="inlineStr">
        <is>
          <t>45NOV25</t>
        </is>
      </c>
      <c r="B56" t="inlineStr">
        <is>
          <t>MG-19-000272</t>
        </is>
      </c>
      <c r="C56" t="inlineStr">
        <is>
          <t>700 Penn St</t>
        </is>
      </c>
      <c r="D56" t="inlineStr">
        <is>
          <t>Sharpsburg</t>
        </is>
      </c>
      <c r="E56" t="inlineStr">
        <is>
          <t>Active</t>
        </is>
      </c>
      <c r="F56" t="inlineStr">
        <is>
          <t>excluded</t>
        </is>
      </c>
      <c r="G56" t="inlineStr">
        <is>
          <t>Docs outstanding: Court order (O/C) approving postponements covering 3 sale date(s): 8/3/26, 10/5/26, 11/2/26</t>
        </is>
      </c>
      <c r="H56" t="n">
        <v>2858.3</v>
      </c>
      <c r="I56" t="inlineStr"/>
    </row>
    <row r="57">
      <c r="A57" t="inlineStr">
        <is>
          <t>54NOV25</t>
        </is>
      </c>
      <c r="B57" t="inlineStr">
        <is>
          <t>GD-23-011927</t>
        </is>
      </c>
      <c r="C57" t="inlineStr">
        <is>
          <t>220 Old Lebanon Church Rd</t>
        </is>
      </c>
      <c r="D57" t="inlineStr">
        <is>
          <t>Pleasant Hills</t>
        </is>
      </c>
      <c r="E57" t="inlineStr">
        <is>
          <t>Active</t>
        </is>
      </c>
      <c r="F57" t="inlineStr">
        <is>
          <t>ok</t>
        </is>
      </c>
      <c r="G57" t="inlineStr">
        <is>
          <t>Sheriff OK box checked</t>
        </is>
      </c>
      <c r="H57" t="n">
        <v>25000</v>
      </c>
      <c r="I57" t="inlineStr">
        <is>
          <t>Free &amp; clear court order, min bid $25,000.00 (earlier orders: $100,000.00)
Prior winning bidder forfeited (property re-offered)
Opening bid recalculated – new C+T bid $152,696.57</t>
        </is>
      </c>
    </row>
    <row r="58">
      <c r="A58" t="inlineStr">
        <is>
          <t>70NOV25</t>
        </is>
      </c>
      <c r="B58" t="inlineStr">
        <is>
          <t>GD-24-006729</t>
        </is>
      </c>
      <c r="C58" t="inlineStr">
        <is>
          <t>1079 8th Avenue</t>
        </is>
      </c>
      <c r="D58" t="inlineStr">
        <is>
          <t>Brackenridge</t>
        </is>
      </c>
      <c r="E58" t="inlineStr">
        <is>
          <t>Active</t>
        </is>
      </c>
      <c r="F58" t="inlineStr">
        <is>
          <t>excluded</t>
        </is>
      </c>
      <c r="G58" t="inlineStr">
        <is>
          <t>Docs outstanding: Court order (O/C) approving postponements covering 2 sale date(s): 8/3/26, 11/2/26</t>
        </is>
      </c>
      <c r="H58" t="n">
        <v>25543.5</v>
      </c>
      <c r="I58" t="inlineStr"/>
    </row>
    <row r="59">
      <c r="A59" t="inlineStr">
        <is>
          <t>90NOV25</t>
        </is>
      </c>
      <c r="B59" t="inlineStr">
        <is>
          <t>GD-23-010754</t>
        </is>
      </c>
      <c r="C59" t="inlineStr">
        <is>
          <t>804 Washington Street</t>
        </is>
      </c>
      <c r="D59" t="inlineStr">
        <is>
          <t>Harrison</t>
        </is>
      </c>
      <c r="E59" t="inlineStr">
        <is>
          <t>Postponed to 5/3/2027</t>
        </is>
      </c>
      <c r="F59" t="inlineStr">
        <is>
          <t>excluded</t>
        </is>
      </c>
      <c r="G59" t="inlineStr">
        <is>
          <t>Postponed to 5/3/2027</t>
        </is>
      </c>
      <c r="H59" t="n">
        <v>24306.47</v>
      </c>
      <c r="I59" t="inlineStr">
        <is>
          <t>Bankruptcy history: 1 filing(s)</t>
        </is>
      </c>
    </row>
    <row r="60">
      <c r="A60" t="inlineStr">
        <is>
          <t>101NOV25</t>
        </is>
      </c>
      <c r="B60" t="inlineStr">
        <is>
          <t>GD-17-005317</t>
        </is>
      </c>
      <c r="C60" t="inlineStr">
        <is>
          <t>3602 Cambria St</t>
        </is>
      </c>
      <c r="D60" t="inlineStr">
        <is>
          <t>Munhall</t>
        </is>
      </c>
      <c r="E60" t="inlineStr">
        <is>
          <t>Active</t>
        </is>
      </c>
      <c r="F60" t="inlineStr">
        <is>
          <t>excluded</t>
        </is>
      </c>
      <c r="G60" t="inlineStr">
        <is>
          <t>Docs outstanding: Court order (O/C) approving postponements covering 2 sale date(s): 9/8/26, 11/2/26</t>
        </is>
      </c>
      <c r="H60" t="n">
        <v>14822.61</v>
      </c>
      <c r="I60" t="inlineStr"/>
    </row>
    <row r="61">
      <c r="A61" t="inlineStr">
        <is>
          <t>104NOV25</t>
        </is>
      </c>
      <c r="B61" t="inlineStr">
        <is>
          <t>MG-23-001072</t>
        </is>
      </c>
      <c r="C61" t="inlineStr">
        <is>
          <t>432 Dennison Drive</t>
        </is>
      </c>
      <c r="D61" t="inlineStr">
        <is>
          <t>West Mifflin</t>
        </is>
      </c>
      <c r="E61" t="inlineStr">
        <is>
          <t>Postponed to 3/1/2027</t>
        </is>
      </c>
      <c r="F61" t="inlineStr">
        <is>
          <t>excluded</t>
        </is>
      </c>
      <c r="G61" t="inlineStr">
        <is>
          <t>Postponed to 3/1/2027</t>
        </is>
      </c>
      <c r="H61" t="n">
        <v>2609.93</v>
      </c>
      <c r="I61" t="inlineStr"/>
    </row>
    <row r="62">
      <c r="A62" t="inlineStr">
        <is>
          <t>21DEC25</t>
        </is>
      </c>
      <c r="B62" t="inlineStr">
        <is>
          <t>GD-24-011080</t>
        </is>
      </c>
      <c r="C62" t="inlineStr">
        <is>
          <t>3700 Vistaview St</t>
        </is>
      </c>
      <c r="D62" t="inlineStr">
        <is>
          <t>West Mifflin</t>
        </is>
      </c>
      <c r="E62" t="inlineStr">
        <is>
          <t>Active</t>
        </is>
      </c>
      <c r="F62" t="inlineStr">
        <is>
          <t>excluded</t>
        </is>
      </c>
      <c r="G62" t="inlineStr">
        <is>
          <t>Docs outstanding: Court order (O/C) approving postponements covering 2 sale date(s): 5/4/26, 11/2/26</t>
        </is>
      </c>
      <c r="H62" t="n">
        <v>52851.66</v>
      </c>
      <c r="I62" t="inlineStr"/>
    </row>
    <row r="63">
      <c r="A63" t="inlineStr">
        <is>
          <t>22DEC25</t>
        </is>
      </c>
      <c r="B63" t="inlineStr">
        <is>
          <t>GD-24-000740</t>
        </is>
      </c>
      <c r="C63" t="inlineStr">
        <is>
          <t>116 Regina St</t>
        </is>
      </c>
      <c r="D63" t="inlineStr">
        <is>
          <t>Whitaker</t>
        </is>
      </c>
      <c r="E63" t="inlineStr">
        <is>
          <t>Active</t>
        </is>
      </c>
      <c r="F63" t="inlineStr">
        <is>
          <t>excluded</t>
        </is>
      </c>
      <c r="G63" t="inlineStr">
        <is>
          <t>Docs outstanding: Court order (O/C) approving postponements covering 5 sale date(s): 2/2/26, 4/6/26, 8/3/26, 9/8/26, 11/2/26</t>
        </is>
      </c>
      <c r="H63" t="n">
        <v>23138.32</v>
      </c>
      <c r="I63" t="inlineStr"/>
    </row>
    <row r="64">
      <c r="A64" t="inlineStr">
        <is>
          <t>46DEC25</t>
        </is>
      </c>
      <c r="B64" t="inlineStr">
        <is>
          <t>GD-23-010643</t>
        </is>
      </c>
      <c r="C64" t="inlineStr">
        <is>
          <t>2801 Penn Ave</t>
        </is>
      </c>
      <c r="D64" t="inlineStr">
        <is>
          <t>Pittsburgh</t>
        </is>
      </c>
      <c r="E64" t="inlineStr">
        <is>
          <t>Active</t>
        </is>
      </c>
      <c r="F64" t="inlineStr">
        <is>
          <t>excluded</t>
        </is>
      </c>
      <c r="G64" t="inlineStr">
        <is>
          <t>Non-residential (Commercial)</t>
        </is>
      </c>
      <c r="H64" t="n">
        <v>37308.66</v>
      </c>
      <c r="I64" t="inlineStr">
        <is>
          <t>Defense attorney has entered an appearance</t>
        </is>
      </c>
    </row>
    <row r="65">
      <c r="A65" t="inlineStr">
        <is>
          <t>57DEC25</t>
        </is>
      </c>
      <c r="B65" t="inlineStr">
        <is>
          <t>GD-18-016940</t>
        </is>
      </c>
      <c r="C65" t="inlineStr">
        <is>
          <t>124 Bell Street</t>
        </is>
      </c>
      <c r="D65" t="inlineStr">
        <is>
          <t>Elizabeth Twp</t>
        </is>
      </c>
      <c r="E65" t="inlineStr">
        <is>
          <t>Active</t>
        </is>
      </c>
      <c r="F65" t="inlineStr">
        <is>
          <t>excluded</t>
        </is>
      </c>
      <c r="G65" t="inlineStr">
        <is>
          <t>Docs outstanding: Court order (O/C) approving postponements covering 2 sale date(s): 5/4/26, 11/2/26</t>
        </is>
      </c>
      <c r="H65" t="n">
        <v>28147.55</v>
      </c>
      <c r="I65" t="inlineStr"/>
    </row>
    <row r="66">
      <c r="A66" t="inlineStr">
        <is>
          <t>85DEC25</t>
        </is>
      </c>
      <c r="B66" t="inlineStr">
        <is>
          <t>GD-25-000444</t>
        </is>
      </c>
      <c r="C66" t="inlineStr">
        <is>
          <t>716 Kentucky St</t>
        </is>
      </c>
      <c r="D66" t="inlineStr">
        <is>
          <t>Brackenridge</t>
        </is>
      </c>
      <c r="E66" t="inlineStr">
        <is>
          <t>Active</t>
        </is>
      </c>
      <c r="F66" t="inlineStr">
        <is>
          <t>excluded</t>
        </is>
      </c>
      <c r="G66" t="inlineStr">
        <is>
          <t>Docs outstanding: Court order (O/C) approving postponements covering 3 sale date(s): 7/6/26, 8/3/26, 11/2/26</t>
        </is>
      </c>
      <c r="H66" t="n">
        <v>6000</v>
      </c>
      <c r="I66" t="inlineStr">
        <is>
          <t>Free &amp; clear court order, min bid $6,000.00</t>
        </is>
      </c>
    </row>
    <row r="67">
      <c r="A67" t="inlineStr">
        <is>
          <t>93DEC25</t>
        </is>
      </c>
      <c r="B67" t="inlineStr">
        <is>
          <t>GD-21-011790</t>
        </is>
      </c>
      <c r="C67" t="inlineStr">
        <is>
          <t>1310 Ravine St</t>
        </is>
      </c>
      <c r="D67" t="inlineStr">
        <is>
          <t>Munhall</t>
        </is>
      </c>
      <c r="E67" t="inlineStr">
        <is>
          <t>Active</t>
        </is>
      </c>
      <c r="F67" t="inlineStr">
        <is>
          <t>excluded</t>
        </is>
      </c>
      <c r="G67" t="inlineStr">
        <is>
          <t>Docs outstanding: Court order (O/C) approving postponements covering 4 sale date(s): 5/4/26, 7/6/26, 9/8/26, 11/2/26</t>
        </is>
      </c>
      <c r="H67" t="n">
        <v>9209.08</v>
      </c>
      <c r="I67" t="inlineStr"/>
    </row>
    <row r="68">
      <c r="A68" t="inlineStr">
        <is>
          <t>95DEC25</t>
        </is>
      </c>
      <c r="B68" t="inlineStr">
        <is>
          <t>GD-23-014173</t>
        </is>
      </c>
      <c r="C68" t="inlineStr">
        <is>
          <t>516 Firethorne Drive</t>
        </is>
      </c>
      <c r="D68" t="inlineStr">
        <is>
          <t>Monroeville</t>
        </is>
      </c>
      <c r="E68" t="inlineStr">
        <is>
          <t>Active</t>
        </is>
      </c>
      <c r="F68" t="inlineStr">
        <is>
          <t>excluded</t>
        </is>
      </c>
      <c r="G68" t="inlineStr">
        <is>
          <t>Docs outstanding: Court order (O/C) approving postponements covering 1 sale date(s): 11/2/26</t>
        </is>
      </c>
      <c r="H68" t="n">
        <v>27528.12</v>
      </c>
      <c r="I68" t="inlineStr"/>
    </row>
    <row r="69">
      <c r="A69" t="inlineStr">
        <is>
          <t>123DEC25</t>
        </is>
      </c>
      <c r="B69" t="inlineStr">
        <is>
          <t>MG-25-000069</t>
        </is>
      </c>
      <c r="C69" t="inlineStr">
        <is>
          <t>3344 Altherton Drive</t>
        </is>
      </c>
      <c r="D69" t="inlineStr">
        <is>
          <t>Bethel Park</t>
        </is>
      </c>
      <c r="E69" t="inlineStr">
        <is>
          <t>Stayed</t>
        </is>
      </c>
      <c r="F69" t="inlineStr">
        <is>
          <t>excluded</t>
        </is>
      </c>
      <c r="G69" t="inlineStr">
        <is>
          <t>Stayed</t>
        </is>
      </c>
      <c r="H69" t="n">
        <v>8068.59</v>
      </c>
      <c r="I69" t="inlineStr">
        <is>
          <t>Bankruptcy history: 1 filing(s)</t>
        </is>
      </c>
    </row>
    <row r="70">
      <c r="A70" t="inlineStr">
        <is>
          <t>156DEC25</t>
        </is>
      </c>
      <c r="B70" t="inlineStr">
        <is>
          <t>MG-14-001071</t>
        </is>
      </c>
      <c r="C70" t="inlineStr">
        <is>
          <t>2228 Lacrosse Street</t>
        </is>
      </c>
      <c r="D70" t="inlineStr">
        <is>
          <t>Swissvale</t>
        </is>
      </c>
      <c r="E70" t="inlineStr">
        <is>
          <t>Active</t>
        </is>
      </c>
      <c r="F70" t="inlineStr">
        <is>
          <t>excluded</t>
        </is>
      </c>
      <c r="G70" t="inlineStr">
        <is>
          <t>Bankruptcy dismissal / relief-from-stay docs</t>
        </is>
      </c>
      <c r="H70" t="n">
        <v>44042.44</v>
      </c>
      <c r="I70" t="inlineStr">
        <is>
          <t>Bankruptcy history: 1 filing(s)</t>
        </is>
      </c>
    </row>
    <row r="71">
      <c r="A71" t="inlineStr">
        <is>
          <t>159DEC25</t>
        </is>
      </c>
      <c r="B71" t="inlineStr">
        <is>
          <t>GD-22-014187</t>
        </is>
      </c>
      <c r="C71" t="inlineStr">
        <is>
          <t>374 Calderwood Avenue</t>
        </is>
      </c>
      <c r="D71" t="inlineStr">
        <is>
          <t>Ross</t>
        </is>
      </c>
      <c r="E71" t="inlineStr">
        <is>
          <t>Postponed to 5/3/2027</t>
        </is>
      </c>
      <c r="F71" t="inlineStr">
        <is>
          <t>excluded</t>
        </is>
      </c>
      <c r="G71" t="inlineStr">
        <is>
          <t>Postponed to 5/3/2027</t>
        </is>
      </c>
      <c r="H71" t="n">
        <v>44287.28</v>
      </c>
      <c r="I71" t="inlineStr"/>
    </row>
    <row r="72">
      <c r="A72" t="inlineStr">
        <is>
          <t>160DEC25</t>
        </is>
      </c>
      <c r="B72" t="inlineStr">
        <is>
          <t>GD-24-010503</t>
        </is>
      </c>
      <c r="C72" t="inlineStr">
        <is>
          <t>234 Gass Rd</t>
        </is>
      </c>
      <c r="D72" t="inlineStr">
        <is>
          <t>Ross</t>
        </is>
      </c>
      <c r="E72" t="inlineStr">
        <is>
          <t>Active</t>
        </is>
      </c>
      <c r="F72" t="inlineStr">
        <is>
          <t>excluded</t>
        </is>
      </c>
      <c r="G72" t="inlineStr">
        <is>
          <t>Docs outstanding: Court order (O/C) approving postponements covering 3 sale date(s): 7/6/26, 10/5/26, 11/2/26</t>
        </is>
      </c>
      <c r="H72" t="n">
        <v>14501.67</v>
      </c>
      <c r="I72" t="inlineStr"/>
    </row>
    <row r="73">
      <c r="A73" t="inlineStr">
        <is>
          <t>8JAN26</t>
        </is>
      </c>
      <c r="B73" t="inlineStr">
        <is>
          <t>GD-22-015866</t>
        </is>
      </c>
      <c r="C73" t="inlineStr">
        <is>
          <t>406 Richland Ave</t>
        </is>
      </c>
      <c r="D73" t="inlineStr">
        <is>
          <t>Dravosburg</t>
        </is>
      </c>
      <c r="E73" t="inlineStr">
        <is>
          <t>Active</t>
        </is>
      </c>
      <c r="F73" t="inlineStr">
        <is>
          <t>excluded</t>
        </is>
      </c>
      <c r="G73" t="inlineStr">
        <is>
          <t>Non-residential (Commercial)</t>
        </is>
      </c>
      <c r="H73" t="n">
        <v>23988.1</v>
      </c>
      <c r="I73" t="inlineStr"/>
    </row>
    <row r="74">
      <c r="A74" t="inlineStr">
        <is>
          <t>18JAN26</t>
        </is>
      </c>
      <c r="B74" t="inlineStr">
        <is>
          <t>GD-25-002385</t>
        </is>
      </c>
      <c r="C74" t="inlineStr">
        <is>
          <t>3069 Scotia Hollow Road</t>
        </is>
      </c>
      <c r="D74" t="inlineStr">
        <is>
          <t>Jefferson Hills</t>
        </is>
      </c>
      <c r="E74" t="inlineStr">
        <is>
          <t>Active</t>
        </is>
      </c>
      <c r="F74" t="inlineStr">
        <is>
          <t>ok</t>
        </is>
      </c>
      <c r="G74" t="inlineStr">
        <is>
          <t>Sheriff OK box checked</t>
        </is>
      </c>
      <c r="H74" t="n">
        <v>7000</v>
      </c>
      <c r="I74" t="inlineStr">
        <is>
          <t>Free &amp; clear court order, min bid $7,000.00</t>
        </is>
      </c>
    </row>
    <row r="75">
      <c r="A75" t="inlineStr">
        <is>
          <t>20JAN26</t>
        </is>
      </c>
      <c r="B75" t="inlineStr">
        <is>
          <t>GD-17-003588</t>
        </is>
      </c>
      <c r="C75" t="inlineStr">
        <is>
          <t>500 Park Ave</t>
        </is>
      </c>
      <c r="D75" t="inlineStr">
        <is>
          <t>Elizabeth Twp</t>
        </is>
      </c>
      <c r="E75" t="inlineStr">
        <is>
          <t>Active</t>
        </is>
      </c>
      <c r="F75" t="inlineStr">
        <is>
          <t>excluded</t>
        </is>
      </c>
      <c r="G75" t="inlineStr">
        <is>
          <t>Docs outstanding: Rule 3129.3 notice of postponed sale date (for 11/2/26); Court order (O/C) approving postponements covering 1 sale date(s): 11/2/26</t>
        </is>
      </c>
      <c r="H75" t="n">
        <v>33432.69</v>
      </c>
      <c r="I75" t="inlineStr"/>
    </row>
    <row r="76">
      <c r="A76" t="inlineStr">
        <is>
          <t>33JAN26</t>
        </is>
      </c>
      <c r="B76" t="inlineStr">
        <is>
          <t>MG-24-000809</t>
        </is>
      </c>
      <c r="C76" t="inlineStr">
        <is>
          <t>3014 Boyd St</t>
        </is>
      </c>
      <c r="D76" t="inlineStr">
        <is>
          <t>McKeesport</t>
        </is>
      </c>
      <c r="E76" t="inlineStr">
        <is>
          <t>Active</t>
        </is>
      </c>
      <c r="F76" t="inlineStr">
        <is>
          <t>excluded</t>
        </is>
      </c>
      <c r="G76" t="inlineStr">
        <is>
          <t>Bankruptcy dismissal / relief-from-stay docs</t>
        </is>
      </c>
      <c r="H76" t="n">
        <v>9883.18</v>
      </c>
      <c r="I76" t="inlineStr">
        <is>
          <t>Bankruptcy history: 1 filing(s)</t>
        </is>
      </c>
    </row>
    <row r="77">
      <c r="A77" t="inlineStr">
        <is>
          <t>56JAN26</t>
        </is>
      </c>
      <c r="B77" t="inlineStr">
        <is>
          <t>MG-25-000290</t>
        </is>
      </c>
      <c r="C77" t="inlineStr">
        <is>
          <t>6 Cheryl Drive</t>
        </is>
      </c>
      <c r="D77" t="inlineStr">
        <is>
          <t>Robinson</t>
        </is>
      </c>
      <c r="E77" t="inlineStr">
        <is>
          <t>Stayed</t>
        </is>
      </c>
      <c r="F77" t="inlineStr">
        <is>
          <t>excluded</t>
        </is>
      </c>
      <c r="G77" t="inlineStr">
        <is>
          <t>Stayed</t>
        </is>
      </c>
      <c r="H77" t="n">
        <v>10193.12</v>
      </c>
      <c r="I77" t="inlineStr"/>
    </row>
    <row r="78">
      <c r="A78" t="inlineStr">
        <is>
          <t>62JAN26</t>
        </is>
      </c>
      <c r="B78" t="inlineStr">
        <is>
          <t>GD-25-003317</t>
        </is>
      </c>
      <c r="C78" t="inlineStr">
        <is>
          <t>2086 Smithdale Rd</t>
        </is>
      </c>
      <c r="D78" t="inlineStr">
        <is>
          <t>Elizabeth Twp</t>
        </is>
      </c>
      <c r="E78" t="inlineStr">
        <is>
          <t>Active</t>
        </is>
      </c>
      <c r="F78" t="inlineStr">
        <is>
          <t>almost</t>
        </is>
      </c>
      <c r="G78" t="inlineStr">
        <is>
          <t>Only Rule 3129.3 outstanding</t>
        </is>
      </c>
      <c r="H78" t="n">
        <v>15431.56</v>
      </c>
      <c r="I78" t="inlineStr"/>
    </row>
    <row r="79">
      <c r="A79" t="inlineStr">
        <is>
          <t>72JAN26</t>
        </is>
      </c>
      <c r="B79" t="inlineStr">
        <is>
          <t>MG-23-000294</t>
        </is>
      </c>
      <c r="C79" t="inlineStr">
        <is>
          <t>5438 Hillcrest St</t>
        </is>
      </c>
      <c r="D79" t="inlineStr">
        <is>
          <t>Pittsburgh</t>
        </is>
      </c>
      <c r="E79" t="inlineStr">
        <is>
          <t>Active</t>
        </is>
      </c>
      <c r="F79" t="inlineStr">
        <is>
          <t>excluded</t>
        </is>
      </c>
      <c r="G79" t="inlineStr">
        <is>
          <t>Docs outstanding: Court order (O/C) approving postponements covering 2 sale date(s): 10/5/26, 11/2/26</t>
        </is>
      </c>
      <c r="H79" t="n">
        <v>4876.58</v>
      </c>
      <c r="I79" t="inlineStr">
        <is>
          <t>Defense attorney has entered an appearance</t>
        </is>
      </c>
    </row>
    <row r="80">
      <c r="A80" t="inlineStr">
        <is>
          <t>90JAN26</t>
        </is>
      </c>
      <c r="B80" t="inlineStr">
        <is>
          <t>GD-23-014428</t>
        </is>
      </c>
      <c r="C80" t="inlineStr">
        <is>
          <t>408 Edison Street</t>
        </is>
      </c>
      <c r="D80" t="inlineStr">
        <is>
          <t>West Mifflin</t>
        </is>
      </c>
      <c r="E80" t="inlineStr">
        <is>
          <t>Active</t>
        </is>
      </c>
      <c r="F80" t="inlineStr">
        <is>
          <t>excluded</t>
        </is>
      </c>
      <c r="G80" t="inlineStr">
        <is>
          <t>Docs outstanding: Proof of service on defendant; Court order (O/C) approving postponements covering 3 sale date(s): 7/6/26, 8/3/26, 11/2/26</t>
        </is>
      </c>
      <c r="H80" t="n">
        <v>52333.89</v>
      </c>
      <c r="I80" t="inlineStr"/>
    </row>
    <row r="81">
      <c r="A81" t="inlineStr">
        <is>
          <t>92JAN26</t>
        </is>
      </c>
      <c r="B81" t="inlineStr">
        <is>
          <t>GD-19-017606</t>
        </is>
      </c>
      <c r="C81" t="inlineStr">
        <is>
          <t>605 High St</t>
        </is>
      </c>
      <c r="D81" t="inlineStr">
        <is>
          <t>Versailles</t>
        </is>
      </c>
      <c r="E81" t="inlineStr">
        <is>
          <t>Postponed to 5/3/2027</t>
        </is>
      </c>
      <c r="F81" t="inlineStr">
        <is>
          <t>excluded</t>
        </is>
      </c>
      <c r="G81" t="inlineStr">
        <is>
          <t>Postponed to 5/3/2027</t>
        </is>
      </c>
      <c r="H81" t="n">
        <v>20298.7</v>
      </c>
      <c r="I81" t="inlineStr"/>
    </row>
    <row r="82">
      <c r="A82" t="inlineStr">
        <is>
          <t>93JAN26</t>
        </is>
      </c>
      <c r="B82" t="inlineStr">
        <is>
          <t>GD-24-009198</t>
        </is>
      </c>
      <c r="C82" t="inlineStr">
        <is>
          <t>3069 Scotia Hollow Road</t>
        </is>
      </c>
      <c r="D82" t="inlineStr">
        <is>
          <t>Jefferson Hills</t>
        </is>
      </c>
      <c r="E82" t="inlineStr">
        <is>
          <t>Active</t>
        </is>
      </c>
      <c r="F82" t="inlineStr">
        <is>
          <t>excluded</t>
        </is>
      </c>
      <c r="G82" t="inlineStr">
        <is>
          <t>Docs outstanding: Court order (O/C) approving postponements covering 1 sale date(s): 11/2/26</t>
        </is>
      </c>
      <c r="H82" t="n">
        <v>43166.54</v>
      </c>
      <c r="I82" t="inlineStr"/>
    </row>
    <row r="83">
      <c r="A83" t="inlineStr">
        <is>
          <t>104JAN26</t>
        </is>
      </c>
      <c r="B83" t="inlineStr">
        <is>
          <t>GD-23-007949</t>
        </is>
      </c>
      <c r="C83" t="inlineStr">
        <is>
          <t>742 Saint Clair Avenue</t>
        </is>
      </c>
      <c r="D83" t="inlineStr">
        <is>
          <t>Clairton</t>
        </is>
      </c>
      <c r="E83" t="inlineStr">
        <is>
          <t>Stayed</t>
        </is>
      </c>
      <c r="F83" t="inlineStr">
        <is>
          <t>excluded</t>
        </is>
      </c>
      <c r="G83" t="inlineStr">
        <is>
          <t>Stayed</t>
        </is>
      </c>
      <c r="H83" t="n">
        <v>27552.36</v>
      </c>
      <c r="I83" t="inlineStr">
        <is>
          <t>OK-to-sell note dated 8/3/26, not this sale – verify</t>
        </is>
      </c>
    </row>
    <row r="84">
      <c r="A84" t="inlineStr">
        <is>
          <t>105JAN26</t>
        </is>
      </c>
      <c r="B84" t="inlineStr">
        <is>
          <t>GD-24-009727</t>
        </is>
      </c>
      <c r="C84" t="inlineStr">
        <is>
          <t>5532 Front Street</t>
        </is>
      </c>
      <c r="D84" t="inlineStr">
        <is>
          <t>Penn Hills</t>
        </is>
      </c>
      <c r="E84" t="inlineStr">
        <is>
          <t>Active</t>
        </is>
      </c>
      <c r="F84" t="inlineStr">
        <is>
          <t>excluded</t>
        </is>
      </c>
      <c r="G84" t="inlineStr">
        <is>
          <t>Docs outstanding: Court order (O/C) approving postponements covering 1 sale date(s): 11/2/26</t>
        </is>
      </c>
      <c r="H84" t="n">
        <v>24804.28</v>
      </c>
      <c r="I84" t="inlineStr">
        <is>
          <t>Bankruptcy history: 1 filing(s)</t>
        </is>
      </c>
    </row>
    <row r="85">
      <c r="A85" t="inlineStr">
        <is>
          <t>14FEB26</t>
        </is>
      </c>
      <c r="B85" t="inlineStr">
        <is>
          <t>GD-23-010153</t>
        </is>
      </c>
      <c r="C85" t="inlineStr">
        <is>
          <t>3013 Mcmillan Road</t>
        </is>
      </c>
      <c r="D85" t="inlineStr">
        <is>
          <t>Robinson</t>
        </is>
      </c>
      <c r="E85" t="inlineStr">
        <is>
          <t>Active</t>
        </is>
      </c>
      <c r="F85" t="inlineStr">
        <is>
          <t>excluded</t>
        </is>
      </c>
      <c r="G85" t="inlineStr">
        <is>
          <t>Docs outstanding: Court order (O/C) approving postponements covering 1 sale date(s): 11/2/26</t>
        </is>
      </c>
      <c r="H85" t="n">
        <v>43865.87</v>
      </c>
      <c r="I85" t="inlineStr"/>
    </row>
    <row r="86">
      <c r="A86" t="inlineStr">
        <is>
          <t>17FEB26</t>
        </is>
      </c>
      <c r="B86" t="inlineStr">
        <is>
          <t>GD-23-005893</t>
        </is>
      </c>
      <c r="C86" t="inlineStr">
        <is>
          <t>1304 Louise Street</t>
        </is>
      </c>
      <c r="D86" t="inlineStr">
        <is>
          <t>Munhall</t>
        </is>
      </c>
      <c r="E86" t="inlineStr">
        <is>
          <t>Active</t>
        </is>
      </c>
      <c r="F86" t="inlineStr">
        <is>
          <t>excluded</t>
        </is>
      </c>
      <c r="G86" t="inlineStr">
        <is>
          <t>Docs outstanding: Court order (O/C) approving postponements covering 2 sale date(s): 8/3/26, 11/2/26</t>
        </is>
      </c>
      <c r="H86" t="n">
        <v>48105.24</v>
      </c>
      <c r="I86" t="inlineStr"/>
    </row>
    <row r="87">
      <c r="A87" t="inlineStr">
        <is>
          <t>18FEB26</t>
        </is>
      </c>
      <c r="B87" t="inlineStr">
        <is>
          <t>GD-19-001541</t>
        </is>
      </c>
      <c r="C87" t="inlineStr">
        <is>
          <t>419 Carl Street</t>
        </is>
      </c>
      <c r="D87" t="inlineStr">
        <is>
          <t>Mount Oliver</t>
        </is>
      </c>
      <c r="E87" t="inlineStr">
        <is>
          <t>Postponed to 5/3/2027</t>
        </is>
      </c>
      <c r="F87" t="inlineStr">
        <is>
          <t>excluded</t>
        </is>
      </c>
      <c r="G87" t="inlineStr">
        <is>
          <t>Postponed to 5/3/2027</t>
        </is>
      </c>
      <c r="H87" t="n">
        <v>69411.63</v>
      </c>
      <c r="I87" t="inlineStr"/>
    </row>
    <row r="88">
      <c r="A88" t="inlineStr">
        <is>
          <t>40FEB26</t>
        </is>
      </c>
      <c r="B88" t="inlineStr">
        <is>
          <t>GD-23-009076</t>
        </is>
      </c>
      <c r="C88" t="inlineStr">
        <is>
          <t>1201 Fawcett Ave</t>
        </is>
      </c>
      <c r="D88" t="inlineStr">
        <is>
          <t>White Oak</t>
        </is>
      </c>
      <c r="E88" t="inlineStr">
        <is>
          <t>Active</t>
        </is>
      </c>
      <c r="F88" t="inlineStr">
        <is>
          <t>excluded</t>
        </is>
      </c>
      <c r="G88" t="inlineStr">
        <is>
          <t>Docs outstanding: Rule 3129.3 notice of postponed sale date (for 11/2/26); Court order (O/C) approving postponements covering 3 sale date(s): 8/3/26, 9/8/26, 11/2/26</t>
        </is>
      </c>
      <c r="H88" t="n">
        <v>41779.16</v>
      </c>
      <c r="I88" t="inlineStr"/>
    </row>
    <row r="89">
      <c r="A89" t="inlineStr">
        <is>
          <t>58FEB26</t>
        </is>
      </c>
      <c r="B89" t="inlineStr">
        <is>
          <t>GD-24-011651</t>
        </is>
      </c>
      <c r="C89" t="inlineStr">
        <is>
          <t>1709 Wesley St</t>
        </is>
      </c>
      <c r="D89" t="inlineStr">
        <is>
          <t>McKeesport</t>
        </is>
      </c>
      <c r="E89" t="inlineStr">
        <is>
          <t>Active</t>
        </is>
      </c>
      <c r="F89" t="inlineStr">
        <is>
          <t>excluded</t>
        </is>
      </c>
      <c r="G89" t="inlineStr">
        <is>
          <t>Docs outstanding: Court order (O/C) approving postponements covering 2 sale date(s): 8/3/26, 11/2/26</t>
        </is>
      </c>
      <c r="H89" t="n">
        <v>21934.9</v>
      </c>
      <c r="I89" t="inlineStr"/>
    </row>
    <row r="90">
      <c r="A90" t="inlineStr">
        <is>
          <t>78FEB26</t>
        </is>
      </c>
      <c r="B90" t="inlineStr">
        <is>
          <t>GD-18-007452</t>
        </is>
      </c>
      <c r="C90" t="inlineStr">
        <is>
          <t>360 E James St</t>
        </is>
      </c>
      <c r="D90" t="inlineStr">
        <is>
          <t>Munhall</t>
        </is>
      </c>
      <c r="E90" t="inlineStr">
        <is>
          <t>Active</t>
        </is>
      </c>
      <c r="F90" t="inlineStr">
        <is>
          <t>excluded</t>
        </is>
      </c>
      <c r="G90" t="inlineStr">
        <is>
          <t>Docs outstanding: Court order (O/C) approving postponements covering 6 sale date(s): 5/4/26, 6/1/26, 7/6/26, 9/8/26, 10/5/26, 11/2/26</t>
        </is>
      </c>
      <c r="H90" t="n">
        <v>32280.82</v>
      </c>
      <c r="I90" t="inlineStr"/>
    </row>
    <row r="91">
      <c r="A91" t="inlineStr">
        <is>
          <t>90FEB26</t>
        </is>
      </c>
      <c r="B91" t="inlineStr">
        <is>
          <t>MG-24-000981</t>
        </is>
      </c>
      <c r="C91" t="inlineStr">
        <is>
          <t>2111 Carolina Avenue</t>
        </is>
      </c>
      <c r="D91" t="inlineStr">
        <is>
          <t>West Mifflin</t>
        </is>
      </c>
      <c r="E91" t="inlineStr">
        <is>
          <t>Stayed</t>
        </is>
      </c>
      <c r="F91" t="inlineStr">
        <is>
          <t>excluded</t>
        </is>
      </c>
      <c r="G91" t="inlineStr">
        <is>
          <t>Stayed</t>
        </is>
      </c>
      <c r="H91" t="n">
        <v>2365.12</v>
      </c>
      <c r="I91" t="inlineStr"/>
    </row>
    <row r="92">
      <c r="A92" t="inlineStr">
        <is>
          <t>112FEB26</t>
        </is>
      </c>
      <c r="B92" t="inlineStr">
        <is>
          <t>GD-17-009422</t>
        </is>
      </c>
      <c r="C92" t="inlineStr">
        <is>
          <t>1309 Singer Pl</t>
        </is>
      </c>
      <c r="D92" t="inlineStr">
        <is>
          <t>Wilkinsburg</t>
        </is>
      </c>
      <c r="E92" t="inlineStr">
        <is>
          <t>Postponed to 12/7/2026</t>
        </is>
      </c>
      <c r="F92" t="inlineStr">
        <is>
          <t>excluded</t>
        </is>
      </c>
      <c r="G92" t="inlineStr">
        <is>
          <t>Postponed to 12/7/2026</t>
        </is>
      </c>
      <c r="H92" t="n">
        <v>90776.83</v>
      </c>
      <c r="I92" t="inlineStr"/>
    </row>
    <row r="93">
      <c r="A93" t="inlineStr">
        <is>
          <t>114FEB26</t>
        </is>
      </c>
      <c r="B93" t="inlineStr">
        <is>
          <t>GD-21-006143</t>
        </is>
      </c>
      <c r="C93" t="inlineStr">
        <is>
          <t>1221 Margaret St</t>
        </is>
      </c>
      <c r="D93" t="inlineStr">
        <is>
          <t>Munhall</t>
        </is>
      </c>
      <c r="E93" t="inlineStr">
        <is>
          <t>Active</t>
        </is>
      </c>
      <c r="F93" t="inlineStr">
        <is>
          <t>excluded</t>
        </is>
      </c>
      <c r="G93" t="inlineStr">
        <is>
          <t>Docs outstanding: Court order (O/C) approving postponements covering 2 sale date(s): 10/5/26, 11/2/26</t>
        </is>
      </c>
      <c r="H93" t="n">
        <v>82708.94</v>
      </c>
      <c r="I93" t="inlineStr"/>
    </row>
    <row r="94">
      <c r="A94" t="inlineStr">
        <is>
          <t>30MAR26</t>
        </is>
      </c>
      <c r="B94" t="inlineStr">
        <is>
          <t>GD-25-007997</t>
        </is>
      </c>
      <c r="C94" t="inlineStr">
        <is>
          <t>5404 Black St</t>
        </is>
      </c>
      <c r="D94" t="inlineStr">
        <is>
          <t>Pittsburgh</t>
        </is>
      </c>
      <c r="E94" t="inlineStr">
        <is>
          <t>Active</t>
        </is>
      </c>
      <c r="F94" t="inlineStr">
        <is>
          <t>excluded</t>
        </is>
      </c>
      <c r="G94" t="inlineStr">
        <is>
          <t>Bankruptcy dismissal / relief-from-stay docs</t>
        </is>
      </c>
      <c r="H94" t="n">
        <v>11258.78</v>
      </c>
      <c r="I94" t="inlineStr">
        <is>
          <t>Bankruptcy history: 1 filing(s)</t>
        </is>
      </c>
    </row>
    <row r="95">
      <c r="A95" t="inlineStr">
        <is>
          <t>51MAR26</t>
        </is>
      </c>
      <c r="B95" t="inlineStr">
        <is>
          <t>GD-19-016819</t>
        </is>
      </c>
      <c r="C95" t="inlineStr">
        <is>
          <t>105 Branch St</t>
        </is>
      </c>
      <c r="D95" t="inlineStr">
        <is>
          <t>Carnegie</t>
        </is>
      </c>
      <c r="E95" t="inlineStr">
        <is>
          <t>Postponed to 5/3/2027</t>
        </is>
      </c>
      <c r="F95" t="inlineStr">
        <is>
          <t>excluded</t>
        </is>
      </c>
      <c r="G95" t="inlineStr">
        <is>
          <t>Postponed to 5/3/2027</t>
        </is>
      </c>
      <c r="H95" t="n">
        <v>41760.3</v>
      </c>
      <c r="I95" t="inlineStr"/>
    </row>
    <row r="96">
      <c r="A96" t="inlineStr">
        <is>
          <t>67MAR26</t>
        </is>
      </c>
      <c r="B96" t="inlineStr">
        <is>
          <t>MG-25-000393</t>
        </is>
      </c>
      <c r="C96" t="inlineStr">
        <is>
          <t>125 Olancha Avenue</t>
        </is>
      </c>
      <c r="D96" t="inlineStr">
        <is>
          <t>Brentwood</t>
        </is>
      </c>
      <c r="E96" t="inlineStr">
        <is>
          <t>Active</t>
        </is>
      </c>
      <c r="F96" t="inlineStr">
        <is>
          <t>ok</t>
        </is>
      </c>
      <c r="G96" t="inlineStr">
        <is>
          <t>Sheriff OK box checked</t>
        </is>
      </c>
      <c r="H96" t="n">
        <v>6387.14</v>
      </c>
      <c r="I96" t="inlineStr"/>
    </row>
    <row r="97">
      <c r="A97" t="inlineStr">
        <is>
          <t>70MAR26</t>
        </is>
      </c>
      <c r="B97" t="inlineStr">
        <is>
          <t>MG-16-001493</t>
        </is>
      </c>
      <c r="C97" t="inlineStr">
        <is>
          <t>5076 Lindermer Avenue</t>
        </is>
      </c>
      <c r="D97" t="inlineStr">
        <is>
          <t>Bethel Park</t>
        </is>
      </c>
      <c r="E97" t="inlineStr">
        <is>
          <t>Active</t>
        </is>
      </c>
      <c r="F97" t="inlineStr">
        <is>
          <t>excluded</t>
        </is>
      </c>
      <c r="G97" t="inlineStr">
        <is>
          <t>Bankruptcy dismissal / relief-from-stay docs</t>
        </is>
      </c>
      <c r="H97" t="n">
        <v>7247.47</v>
      </c>
      <c r="I97" t="inlineStr">
        <is>
          <t>Bankruptcy history: 1 filing(s)</t>
        </is>
      </c>
    </row>
    <row r="98">
      <c r="A98" t="inlineStr">
        <is>
          <t>90MAR26</t>
        </is>
      </c>
      <c r="B98" t="inlineStr">
        <is>
          <t>GD-24-012379</t>
        </is>
      </c>
      <c r="C98" t="inlineStr">
        <is>
          <t>34 Woodruff Dr ; 905 Woodbourne Ave ; 1700 New Haven Ave</t>
        </is>
      </c>
      <c r="D98" t="inlineStr">
        <is>
          <t>Carnegie</t>
        </is>
      </c>
      <c r="E98" t="inlineStr">
        <is>
          <t>Active</t>
        </is>
      </c>
      <c r="F98" t="inlineStr">
        <is>
          <t>excluded</t>
        </is>
      </c>
      <c r="G98" t="inlineStr">
        <is>
          <t>Bankruptcy dismissal / relief-from-stay docs</t>
        </is>
      </c>
      <c r="H98" t="n">
        <v>51643.75</v>
      </c>
      <c r="I98" t="inlineStr">
        <is>
          <t>Bankruptcy history: 1 filing(s)</t>
        </is>
      </c>
    </row>
    <row r="99">
      <c r="A99" t="inlineStr">
        <is>
          <t>106MAR26</t>
        </is>
      </c>
      <c r="B99" t="inlineStr">
        <is>
          <t>GD-24-010373</t>
        </is>
      </c>
      <c r="C99" t="inlineStr">
        <is>
          <t>606 E 14th Ave</t>
        </is>
      </c>
      <c r="D99" t="inlineStr">
        <is>
          <t>Munhall</t>
        </is>
      </c>
      <c r="E99" t="inlineStr">
        <is>
          <t>Active</t>
        </is>
      </c>
      <c r="F99" t="inlineStr">
        <is>
          <t>almost</t>
        </is>
      </c>
      <c r="G99" t="inlineStr">
        <is>
          <t>VERIFY – Service/3129.2/3129.3 checked, OK not yet checked, no items listed</t>
        </is>
      </c>
      <c r="H99" t="n">
        <v>65577.98</v>
      </c>
      <c r="I99" t="inlineStr"/>
    </row>
    <row r="100">
      <c r="A100" t="inlineStr">
        <is>
          <t>107MAR26</t>
        </is>
      </c>
      <c r="B100" t="inlineStr">
        <is>
          <t>GD-24-012429</t>
        </is>
      </c>
      <c r="C100" t="inlineStr">
        <is>
          <t>836 Suismon St ; 838 Suismon St ; 840 Suismon St ; 1500 Edgehill Ave ; 1216 Louise St</t>
        </is>
      </c>
      <c r="D100" t="inlineStr">
        <is>
          <t>Pittsburgh</t>
        </is>
      </c>
      <c r="E100" t="inlineStr">
        <is>
          <t>Active</t>
        </is>
      </c>
      <c r="F100" t="inlineStr">
        <is>
          <t>excluded</t>
        </is>
      </c>
      <c r="G100" t="inlineStr">
        <is>
          <t>Bankruptcy dismissal / relief-from-stay docs</t>
        </is>
      </c>
      <c r="H100" t="n">
        <v>93816.25</v>
      </c>
      <c r="I100" t="inlineStr">
        <is>
          <t>Bankruptcy history: 1 filing(s)</t>
        </is>
      </c>
    </row>
    <row r="101">
      <c r="A101" t="inlineStr">
        <is>
          <t>1APR26</t>
        </is>
      </c>
      <c r="B101" t="inlineStr">
        <is>
          <t>MG-23-000867</t>
        </is>
      </c>
      <c r="C101" t="inlineStr">
        <is>
          <t>186 Oak Street</t>
        </is>
      </c>
      <c r="D101" t="inlineStr">
        <is>
          <t>Leet</t>
        </is>
      </c>
      <c r="E101" t="inlineStr">
        <is>
          <t>Active</t>
        </is>
      </c>
      <c r="F101" t="inlineStr">
        <is>
          <t>excluded</t>
        </is>
      </c>
      <c r="G101" t="inlineStr">
        <is>
          <t>Handbill / short-description defect – Sheriff says sale must be postponed</t>
        </is>
      </c>
      <c r="H101" t="n">
        <v>2812.65</v>
      </c>
      <c r="I101" t="inlineStr"/>
    </row>
    <row r="102">
      <c r="A102" t="inlineStr">
        <is>
          <t>16APR26</t>
        </is>
      </c>
      <c r="B102" t="inlineStr">
        <is>
          <t>GD-24-006829</t>
        </is>
      </c>
      <c r="C102" t="inlineStr">
        <is>
          <t>4135 Davis Ave</t>
        </is>
      </c>
      <c r="D102" t="inlineStr">
        <is>
          <t>Munhall</t>
        </is>
      </c>
      <c r="E102" t="inlineStr">
        <is>
          <t>Postponed to 1/4/2027</t>
        </is>
      </c>
      <c r="F102" t="inlineStr">
        <is>
          <t>excluded</t>
        </is>
      </c>
      <c r="G102" t="inlineStr">
        <is>
          <t>Postponed to 1/4/2027</t>
        </is>
      </c>
      <c r="H102" t="n">
        <v>33485.19</v>
      </c>
      <c r="I102" t="inlineStr"/>
    </row>
    <row r="103">
      <c r="A103" t="inlineStr">
        <is>
          <t>42APR26</t>
        </is>
      </c>
      <c r="B103" t="inlineStr">
        <is>
          <t>GD-25-011355</t>
        </is>
      </c>
      <c r="C103" t="inlineStr">
        <is>
          <t>214 Burwick Court</t>
        </is>
      </c>
      <c r="D103" t="inlineStr">
        <is>
          <t>Indiana</t>
        </is>
      </c>
      <c r="E103" t="inlineStr">
        <is>
          <t>Active</t>
        </is>
      </c>
      <c r="F103" t="inlineStr">
        <is>
          <t>ok</t>
        </is>
      </c>
      <c r="G103" t="inlineStr">
        <is>
          <t>Sheriff OK box checked</t>
        </is>
      </c>
      <c r="H103" t="n">
        <v>4766.99</v>
      </c>
      <c r="I103" t="inlineStr"/>
    </row>
    <row r="104">
      <c r="A104" t="inlineStr">
        <is>
          <t>55APR26</t>
        </is>
      </c>
      <c r="B104" t="inlineStr">
        <is>
          <t>GD-25-003694</t>
        </is>
      </c>
      <c r="C104" t="inlineStr">
        <is>
          <t>1600 Hulton Rd</t>
        </is>
      </c>
      <c r="D104" t="inlineStr">
        <is>
          <t>Penn Hills</t>
        </is>
      </c>
      <c r="E104" t="inlineStr">
        <is>
          <t>Active</t>
        </is>
      </c>
      <c r="F104" t="inlineStr">
        <is>
          <t>excluded</t>
        </is>
      </c>
      <c r="G104" t="inlineStr">
        <is>
          <t>Non-residential (Industrial)</t>
        </is>
      </c>
      <c r="H104" t="n">
        <v>91153.14999999999</v>
      </c>
      <c r="I104" t="inlineStr"/>
    </row>
    <row r="105">
      <c r="A105" t="inlineStr">
        <is>
          <t>61APR26</t>
        </is>
      </c>
      <c r="B105" t="inlineStr">
        <is>
          <t>GD-25-001944</t>
        </is>
      </c>
      <c r="C105" t="inlineStr">
        <is>
          <t>131 Cathedral Court</t>
        </is>
      </c>
      <c r="D105" t="inlineStr">
        <is>
          <t>Carnegie</t>
        </is>
      </c>
      <c r="E105" t="inlineStr">
        <is>
          <t>Active</t>
        </is>
      </c>
      <c r="F105" t="inlineStr">
        <is>
          <t>excluded</t>
        </is>
      </c>
      <c r="G105" t="inlineStr">
        <is>
          <t>Docs outstanding: Court order (O/C) approving postponements covering 1 sale date(s): 11/2/26</t>
        </is>
      </c>
      <c r="H105" t="n">
        <v>32618.11</v>
      </c>
      <c r="I105" t="inlineStr"/>
    </row>
    <row r="106">
      <c r="A106" t="inlineStr">
        <is>
          <t>73APR26</t>
        </is>
      </c>
      <c r="B106" t="inlineStr">
        <is>
          <t>MG-22-000040</t>
        </is>
      </c>
      <c r="C106" t="inlineStr">
        <is>
          <t>312 Fort Couch Rd</t>
        </is>
      </c>
      <c r="D106" t="inlineStr">
        <is>
          <t>Upper St. Clair</t>
        </is>
      </c>
      <c r="E106" t="inlineStr">
        <is>
          <t>Active</t>
        </is>
      </c>
      <c r="F106" t="inlineStr">
        <is>
          <t>excluded</t>
        </is>
      </c>
      <c r="G106" t="inlineStr">
        <is>
          <t>Bankruptcy dismissal / relief-from-stay docs</t>
        </is>
      </c>
      <c r="H106" t="n">
        <v>11728.44</v>
      </c>
      <c r="I106" t="inlineStr">
        <is>
          <t>Save Your Home program involvement
Bankruptcy history: 1 filing(s)</t>
        </is>
      </c>
    </row>
    <row r="107">
      <c r="A107" t="inlineStr">
        <is>
          <t>81APR26</t>
        </is>
      </c>
      <c r="B107" t="inlineStr">
        <is>
          <t>MG-24-000907</t>
        </is>
      </c>
      <c r="C107" t="inlineStr">
        <is>
          <t>834 Royal Avenue ; Royal Avenue Vacant Land B&amp;l 418-C-207</t>
        </is>
      </c>
      <c r="D107" t="inlineStr">
        <is>
          <t>Moon</t>
        </is>
      </c>
      <c r="E107" t="inlineStr">
        <is>
          <t>Postponed to 2/1/2027</t>
        </is>
      </c>
      <c r="F107" t="inlineStr">
        <is>
          <t>excluded</t>
        </is>
      </c>
      <c r="G107" t="inlineStr">
        <is>
          <t>Postponed to 2/1/2027</t>
        </is>
      </c>
      <c r="H107" t="n">
        <v>24752.57</v>
      </c>
      <c r="I107" t="inlineStr">
        <is>
          <t>Bankruptcy history: 1 filing(s)</t>
        </is>
      </c>
    </row>
    <row r="108">
      <c r="A108" t="inlineStr">
        <is>
          <t>4MAY26</t>
        </is>
      </c>
      <c r="B108" t="inlineStr">
        <is>
          <t>GD-25-010714</t>
        </is>
      </c>
      <c r="C108" t="inlineStr">
        <is>
          <t>642 Grant Street</t>
        </is>
      </c>
      <c r="D108" t="inlineStr">
        <is>
          <t>Springdale</t>
        </is>
      </c>
      <c r="E108" t="inlineStr">
        <is>
          <t>Active</t>
        </is>
      </c>
      <c r="F108" t="inlineStr">
        <is>
          <t>excluded</t>
        </is>
      </c>
      <c r="G108" t="inlineStr">
        <is>
          <t>Docs outstanding: Proof of service on defendant; Rule 3129.2 notice of sale / affidavit of service</t>
        </is>
      </c>
      <c r="H108" t="n">
        <v>1918.88</v>
      </c>
      <c r="I108" t="inlineStr">
        <is>
          <t>FHA-insured loan</t>
        </is>
      </c>
    </row>
    <row r="109">
      <c r="A109" t="inlineStr">
        <is>
          <t>6MAY26</t>
        </is>
      </c>
      <c r="B109" t="inlineStr">
        <is>
          <t>MG-25-000627</t>
        </is>
      </c>
      <c r="C109" t="inlineStr">
        <is>
          <t>121 Lippert St</t>
        </is>
      </c>
      <c r="D109" t="inlineStr">
        <is>
          <t>Millvale</t>
        </is>
      </c>
      <c r="E109" t="inlineStr">
        <is>
          <t>Active</t>
        </is>
      </c>
      <c r="F109" t="inlineStr">
        <is>
          <t>ok</t>
        </is>
      </c>
      <c r="G109" t="inlineStr">
        <is>
          <t>Sheriff OK box checked</t>
        </is>
      </c>
      <c r="H109" t="n">
        <v>6071.64</v>
      </c>
      <c r="I109" t="inlineStr"/>
    </row>
    <row r="110">
      <c r="A110" t="inlineStr">
        <is>
          <t>17MAY26</t>
        </is>
      </c>
      <c r="B110" t="inlineStr">
        <is>
          <t>MG-25-000210</t>
        </is>
      </c>
      <c r="C110" t="inlineStr">
        <is>
          <t>854 Cottonwood Drive</t>
        </is>
      </c>
      <c r="D110" t="inlineStr">
        <is>
          <t>Monroeville</t>
        </is>
      </c>
      <c r="E110" t="inlineStr">
        <is>
          <t>Postponed to 1/4/2027</t>
        </is>
      </c>
      <c r="F110" t="inlineStr">
        <is>
          <t>excluded</t>
        </is>
      </c>
      <c r="G110" t="inlineStr">
        <is>
          <t>Postponed to 1/4/2027</t>
        </is>
      </c>
      <c r="H110" t="n">
        <v>3009.97</v>
      </c>
      <c r="I110" t="inlineStr"/>
    </row>
    <row r="111">
      <c r="A111" t="inlineStr">
        <is>
          <t>21MAY26</t>
        </is>
      </c>
      <c r="B111" t="inlineStr">
        <is>
          <t>GD-25-009504</t>
        </is>
      </c>
      <c r="C111" t="inlineStr">
        <is>
          <t>816 Kennedy Street</t>
        </is>
      </c>
      <c r="D111" t="inlineStr">
        <is>
          <t>West Elizabeth</t>
        </is>
      </c>
      <c r="E111" t="inlineStr">
        <is>
          <t>Active</t>
        </is>
      </c>
      <c r="F111" t="inlineStr">
        <is>
          <t>ok</t>
        </is>
      </c>
      <c r="G111" t="inlineStr">
        <is>
          <t>Sheriff OK box checked</t>
        </is>
      </c>
      <c r="H111" t="n">
        <v>2302.4</v>
      </c>
      <c r="I111" t="inlineStr"/>
    </row>
    <row r="112">
      <c r="A112" t="inlineStr">
        <is>
          <t>24MAY26</t>
        </is>
      </c>
      <c r="B112" t="inlineStr">
        <is>
          <t>GD-24-010615</t>
        </is>
      </c>
      <c r="C112" t="inlineStr">
        <is>
          <t>319 Smallwood Dr</t>
        </is>
      </c>
      <c r="D112" t="inlineStr">
        <is>
          <t>Moon</t>
        </is>
      </c>
      <c r="E112" t="inlineStr">
        <is>
          <t>Active</t>
        </is>
      </c>
      <c r="F112" t="inlineStr">
        <is>
          <t>excluded</t>
        </is>
      </c>
      <c r="G112" t="inlineStr">
        <is>
          <t>Docs outstanding: Rule 3129.3 notice of postponed sale date (for 11/2/26); Court order (O/C) approving postponements covering 1 sale date(s): 11/2/26</t>
        </is>
      </c>
      <c r="H112" t="n">
        <v>70026.44</v>
      </c>
      <c r="I112" t="inlineStr"/>
    </row>
    <row r="113">
      <c r="A113" t="inlineStr">
        <is>
          <t>29MAY26</t>
        </is>
      </c>
      <c r="B113" t="inlineStr">
        <is>
          <t>MG-23-000556</t>
        </is>
      </c>
      <c r="C113" t="inlineStr">
        <is>
          <t>100 William Street</t>
        </is>
      </c>
      <c r="D113" t="inlineStr">
        <is>
          <t>Ross</t>
        </is>
      </c>
      <c r="E113" t="inlineStr">
        <is>
          <t>Active</t>
        </is>
      </c>
      <c r="F113" t="inlineStr">
        <is>
          <t>excluded</t>
        </is>
      </c>
      <c r="G113" t="inlineStr">
        <is>
          <t>Docs outstanding: Court order (O/C) approving postponements covering 2 sale date(s): 10/5/26, 11/2/26</t>
        </is>
      </c>
      <c r="H113" t="n">
        <v>9592.219999999999</v>
      </c>
      <c r="I113" t="inlineStr"/>
    </row>
    <row r="114">
      <c r="A114" t="inlineStr">
        <is>
          <t>35MAY26</t>
        </is>
      </c>
      <c r="B114" t="inlineStr">
        <is>
          <t>MG-25-000845</t>
        </is>
      </c>
      <c r="C114" t="inlineStr">
        <is>
          <t>2003 Kansas Avenue</t>
        </is>
      </c>
      <c r="D114" t="inlineStr">
        <is>
          <t>White Oak</t>
        </is>
      </c>
      <c r="E114" t="inlineStr">
        <is>
          <t>Active</t>
        </is>
      </c>
      <c r="F114" t="inlineStr">
        <is>
          <t>excluded</t>
        </is>
      </c>
      <c r="G114" t="inlineStr">
        <is>
          <t>Bankruptcy dismissal / relief-from-stay docs</t>
        </is>
      </c>
      <c r="H114" t="n">
        <v>5844.62</v>
      </c>
      <c r="I114" t="inlineStr">
        <is>
          <t>Bankruptcy history: 1 filing(s)</t>
        </is>
      </c>
    </row>
    <row r="115">
      <c r="A115" t="inlineStr">
        <is>
          <t>36MAY26</t>
        </is>
      </c>
      <c r="B115" t="inlineStr">
        <is>
          <t>GD-24-005913</t>
        </is>
      </c>
      <c r="C115" t="inlineStr">
        <is>
          <t>Margaret Street</t>
        </is>
      </c>
      <c r="D115" t="inlineStr">
        <is>
          <t>Munhall</t>
        </is>
      </c>
      <c r="E115" t="inlineStr">
        <is>
          <t>Active</t>
        </is>
      </c>
      <c r="F115" t="inlineStr">
        <is>
          <t>excluded</t>
        </is>
      </c>
      <c r="G115" t="inlineStr">
        <is>
          <t>Non-residential (Vacant Land)</t>
        </is>
      </c>
      <c r="H115" t="n">
        <v>55284.66</v>
      </c>
      <c r="I115" t="inlineStr"/>
    </row>
    <row r="116">
      <c r="A116" t="inlineStr">
        <is>
          <t>38MAY26</t>
        </is>
      </c>
      <c r="B116" t="inlineStr">
        <is>
          <t>GD-25-006403</t>
        </is>
      </c>
      <c r="C116" t="inlineStr">
        <is>
          <t>231 E Eugene Ave</t>
        </is>
      </c>
      <c r="D116" t="inlineStr">
        <is>
          <t>Munhall</t>
        </is>
      </c>
      <c r="E116" t="inlineStr">
        <is>
          <t>Postponed to 12/7/2026</t>
        </is>
      </c>
      <c r="F116" t="inlineStr">
        <is>
          <t>excluded</t>
        </is>
      </c>
      <c r="G116" t="inlineStr">
        <is>
          <t>Postponed to 12/7/2026</t>
        </is>
      </c>
      <c r="H116" t="n">
        <v>16771.19</v>
      </c>
      <c r="I116" t="inlineStr"/>
    </row>
    <row r="117">
      <c r="A117" t="inlineStr">
        <is>
          <t>42MAY26</t>
        </is>
      </c>
      <c r="B117" t="inlineStr">
        <is>
          <t>MG-25-000794</t>
        </is>
      </c>
      <c r="C117" t="inlineStr">
        <is>
          <t>1100 Monongahela Blvd</t>
        </is>
      </c>
      <c r="D117" t="inlineStr">
        <is>
          <t>White Oak</t>
        </is>
      </c>
      <c r="E117" t="inlineStr">
        <is>
          <t>Active</t>
        </is>
      </c>
      <c r="F117" t="inlineStr">
        <is>
          <t>excluded</t>
        </is>
      </c>
      <c r="G117" t="inlineStr">
        <is>
          <t>Bankruptcy dismissal / relief-from-stay docs</t>
        </is>
      </c>
      <c r="H117" t="n">
        <v>3431.54</v>
      </c>
      <c r="I117" t="inlineStr">
        <is>
          <t>Bankruptcy history: 1 filing(s)</t>
        </is>
      </c>
    </row>
    <row r="118">
      <c r="A118" t="inlineStr">
        <is>
          <t>43MAY26</t>
        </is>
      </c>
      <c r="B118" t="inlineStr">
        <is>
          <t>MG-25-001030</t>
        </is>
      </c>
      <c r="C118" t="inlineStr">
        <is>
          <t>8131 Lindisfarne Drive</t>
        </is>
      </c>
      <c r="D118" t="inlineStr">
        <is>
          <t>McCandless</t>
        </is>
      </c>
      <c r="E118" t="inlineStr">
        <is>
          <t>Active</t>
        </is>
      </c>
      <c r="F118" t="inlineStr">
        <is>
          <t>excluded</t>
        </is>
      </c>
      <c r="G118" t="inlineStr">
        <is>
          <t>Bankruptcy dismissal / relief-from-stay docs (BK 26-21259)</t>
        </is>
      </c>
      <c r="H118" t="n">
        <v>1843.4</v>
      </c>
      <c r="I118" t="inlineStr">
        <is>
          <t>Bankruptcy history: 1 filing(s)</t>
        </is>
      </c>
    </row>
    <row r="119">
      <c r="A119" t="inlineStr">
        <is>
          <t>49MAY26</t>
        </is>
      </c>
      <c r="B119" t="inlineStr">
        <is>
          <t>GD-25-010384</t>
        </is>
      </c>
      <c r="C119" t="inlineStr">
        <is>
          <t>938 Oakdale Ave ; 1807 New Haven Ave ; 4145 Gittens St</t>
        </is>
      </c>
      <c r="D119" t="inlineStr">
        <is>
          <t>Castle Shannon</t>
        </is>
      </c>
      <c r="E119" t="inlineStr">
        <is>
          <t>Active</t>
        </is>
      </c>
      <c r="F119" t="inlineStr">
        <is>
          <t>excluded</t>
        </is>
      </c>
      <c r="G119" t="inlineStr">
        <is>
          <t>Bankruptcy dismissal / relief-from-stay docs</t>
        </is>
      </c>
      <c r="H119" t="n">
        <v>39967.89</v>
      </c>
      <c r="I119" t="inlineStr">
        <is>
          <t>Bankruptcy history: 1 filing(s)</t>
        </is>
      </c>
    </row>
    <row r="120">
      <c r="A120" t="inlineStr">
        <is>
          <t>50MAY26</t>
        </is>
      </c>
      <c r="B120" t="inlineStr">
        <is>
          <t>GD-25-010379</t>
        </is>
      </c>
      <c r="C120" t="inlineStr">
        <is>
          <t>1525 Orangewood Ave ; 462 William St</t>
        </is>
      </c>
      <c r="D120" t="inlineStr">
        <is>
          <t>Pittsburgh</t>
        </is>
      </c>
      <c r="E120" t="inlineStr">
        <is>
          <t>Active</t>
        </is>
      </c>
      <c r="F120" t="inlineStr">
        <is>
          <t>excluded</t>
        </is>
      </c>
      <c r="G120" t="inlineStr">
        <is>
          <t>Bankruptcy dismissal / relief-from-stay docs</t>
        </is>
      </c>
      <c r="H120" t="n">
        <v>40110.75</v>
      </c>
      <c r="I120" t="inlineStr">
        <is>
          <t>Bankruptcy history: 1 filing(s)</t>
        </is>
      </c>
    </row>
    <row r="121">
      <c r="A121" t="inlineStr">
        <is>
          <t>51MAY26</t>
        </is>
      </c>
      <c r="B121" t="inlineStr">
        <is>
          <t>GD-24-012432</t>
        </is>
      </c>
      <c r="C121" t="inlineStr">
        <is>
          <t>176 Southern Ave ; 258 Freidel St ; 119 Cedar Ave ; 2645 Connecticut Ave</t>
        </is>
      </c>
      <c r="D121" t="inlineStr">
        <is>
          <t>Pittsburgh</t>
        </is>
      </c>
      <c r="E121" t="inlineStr">
        <is>
          <t>Active</t>
        </is>
      </c>
      <c r="F121" t="inlineStr">
        <is>
          <t>excluded</t>
        </is>
      </c>
      <c r="G121" t="inlineStr">
        <is>
          <t>Docs outstanding: Rule 3129.2 notice of sale / affidavit of service</t>
        </is>
      </c>
      <c r="H121" t="n">
        <v>66068.96000000001</v>
      </c>
      <c r="I121" t="inlineStr">
        <is>
          <t>Bankruptcy history: 1 filing(s)</t>
        </is>
      </c>
    </row>
    <row r="122">
      <c r="A122" t="inlineStr">
        <is>
          <t>52MAY26</t>
        </is>
      </c>
      <c r="B122" t="inlineStr">
        <is>
          <t>GD-24-012442</t>
        </is>
      </c>
      <c r="C122" t="inlineStr">
        <is>
          <t>1010 Hampshire Ave ; 125 W 13th Ave</t>
        </is>
      </c>
      <c r="D122" t="inlineStr">
        <is>
          <t>Pittsburgh</t>
        </is>
      </c>
      <c r="E122" t="inlineStr">
        <is>
          <t>Active</t>
        </is>
      </c>
      <c r="F122" t="inlineStr">
        <is>
          <t>excluded</t>
        </is>
      </c>
      <c r="G122" t="inlineStr">
        <is>
          <t>Bankruptcy dismissal / relief-from-stay docs</t>
        </is>
      </c>
      <c r="H122" t="n">
        <v>24763.05</v>
      </c>
      <c r="I122" t="inlineStr">
        <is>
          <t>Bankruptcy history: 1 filing(s)</t>
        </is>
      </c>
    </row>
    <row r="123">
      <c r="A123" t="inlineStr">
        <is>
          <t>53MAY26</t>
        </is>
      </c>
      <c r="B123" t="inlineStr">
        <is>
          <t>GD-25-010649</t>
        </is>
      </c>
      <c r="C123" t="inlineStr">
        <is>
          <t>123 Dahlia St</t>
        </is>
      </c>
      <c r="D123" t="inlineStr">
        <is>
          <t>Munhall</t>
        </is>
      </c>
      <c r="E123" t="inlineStr">
        <is>
          <t>Active</t>
        </is>
      </c>
      <c r="F123" t="inlineStr">
        <is>
          <t>excluded</t>
        </is>
      </c>
      <c r="G123" t="inlineStr">
        <is>
          <t>Bankruptcy dismissal / relief-from-stay docs</t>
        </is>
      </c>
      <c r="H123" t="n">
        <v>15277.73</v>
      </c>
      <c r="I123" t="inlineStr">
        <is>
          <t>Bankruptcy history: 1 filing(s)</t>
        </is>
      </c>
    </row>
    <row r="124">
      <c r="A124" t="inlineStr">
        <is>
          <t>64MAY26</t>
        </is>
      </c>
      <c r="B124" t="inlineStr">
        <is>
          <t>GD-20-002588</t>
        </is>
      </c>
      <c r="C124" t="inlineStr">
        <is>
          <t>510 Lemon Ave ; Lemon Ave</t>
        </is>
      </c>
      <c r="D124" t="inlineStr">
        <is>
          <t>McKeesport</t>
        </is>
      </c>
      <c r="E124" t="inlineStr">
        <is>
          <t>Active</t>
        </is>
      </c>
      <c r="F124" t="inlineStr">
        <is>
          <t>excluded</t>
        </is>
      </c>
      <c r="G124" t="inlineStr">
        <is>
          <t>Docs outstanding: Court order (O/C) approving postponements covering 1 sale date(s): 11/2/26</t>
        </is>
      </c>
      <c r="H124" t="n">
        <v>46712.41</v>
      </c>
      <c r="I124" t="inlineStr"/>
    </row>
    <row r="125">
      <c r="A125" t="inlineStr">
        <is>
          <t>74MAY26</t>
        </is>
      </c>
      <c r="B125" t="inlineStr">
        <is>
          <t>GD-24-009735</t>
        </is>
      </c>
      <c r="C125" t="inlineStr">
        <is>
          <t>237 Emrose Drive</t>
        </is>
      </c>
      <c r="D125" t="inlineStr">
        <is>
          <t>Penn Hills</t>
        </is>
      </c>
      <c r="E125" t="inlineStr">
        <is>
          <t>Active</t>
        </is>
      </c>
      <c r="F125" t="inlineStr">
        <is>
          <t>excluded</t>
        </is>
      </c>
      <c r="G125" t="inlineStr">
        <is>
          <t>Docs outstanding: Court order (O/C) approving postponements covering 1 sale date(s): 11/2/26</t>
        </is>
      </c>
      <c r="H125" t="n">
        <v>30514.99</v>
      </c>
      <c r="I125" t="inlineStr"/>
    </row>
    <row r="126">
      <c r="A126" t="inlineStr">
        <is>
          <t>75MAY26</t>
        </is>
      </c>
      <c r="B126" t="inlineStr">
        <is>
          <t>GD-25-003687</t>
        </is>
      </c>
      <c r="C126" t="inlineStr">
        <is>
          <t>276 Nantucket Drive</t>
        </is>
      </c>
      <c r="D126" t="inlineStr">
        <is>
          <t>Pleasant Hills</t>
        </is>
      </c>
      <c r="E126" t="inlineStr">
        <is>
          <t>Postponed to 2/1/2027</t>
        </is>
      </c>
      <c r="F126" t="inlineStr">
        <is>
          <t>excluded</t>
        </is>
      </c>
      <c r="G126" t="inlineStr">
        <is>
          <t>Postponed to 2/1/2027</t>
        </is>
      </c>
      <c r="H126" t="n">
        <v>25129.06</v>
      </c>
      <c r="I126" t="inlineStr"/>
    </row>
    <row r="127">
      <c r="A127" t="inlineStr">
        <is>
          <t>77MAY26</t>
        </is>
      </c>
      <c r="B127" t="inlineStr">
        <is>
          <t>GD-25-000221</t>
        </is>
      </c>
      <c r="C127" t="inlineStr">
        <is>
          <t>292 N Balph Ave</t>
        </is>
      </c>
      <c r="D127" t="inlineStr">
        <is>
          <t>Bellevue</t>
        </is>
      </c>
      <c r="E127" t="inlineStr">
        <is>
          <t>Postponed to 5/3/2027</t>
        </is>
      </c>
      <c r="F127" t="inlineStr">
        <is>
          <t>excluded</t>
        </is>
      </c>
      <c r="G127" t="inlineStr">
        <is>
          <t>Postponed to 5/3/2027</t>
        </is>
      </c>
      <c r="H127" t="n">
        <v>32941.74</v>
      </c>
      <c r="I127" t="inlineStr"/>
    </row>
    <row r="128">
      <c r="A128" t="inlineStr">
        <is>
          <t>82MAY26</t>
        </is>
      </c>
      <c r="B128" t="inlineStr">
        <is>
          <t>GD-25-000253</t>
        </is>
      </c>
      <c r="C128" t="inlineStr">
        <is>
          <t>1032 Hays Ln</t>
        </is>
      </c>
      <c r="D128" t="inlineStr">
        <is>
          <t>Munhall</t>
        </is>
      </c>
      <c r="E128" t="inlineStr">
        <is>
          <t>Active</t>
        </is>
      </c>
      <c r="F128" t="inlineStr">
        <is>
          <t>excluded</t>
        </is>
      </c>
      <c r="G128" t="inlineStr">
        <is>
          <t>Docs outstanding: Court order (O/C) approving postponements covering 2 sale date(s): 10/5/26, 11/2/26</t>
        </is>
      </c>
      <c r="H128" t="n">
        <v>23167.48</v>
      </c>
      <c r="I128" t="inlineStr"/>
    </row>
    <row r="129">
      <c r="A129" t="inlineStr">
        <is>
          <t>83MAY26</t>
        </is>
      </c>
      <c r="B129" t="inlineStr">
        <is>
          <t>GD-23-010906</t>
        </is>
      </c>
      <c r="C129" t="inlineStr">
        <is>
          <t>212 E 18th Ave</t>
        </is>
      </c>
      <c r="D129" t="inlineStr">
        <is>
          <t>Munhall</t>
        </is>
      </c>
      <c r="E129" t="inlineStr">
        <is>
          <t>Active</t>
        </is>
      </c>
      <c r="F129" t="inlineStr">
        <is>
          <t>excluded</t>
        </is>
      </c>
      <c r="G129" t="inlineStr">
        <is>
          <t>Docs outstanding: Court order (O/C) approving postponements covering 2 sale date(s): 9/8/26, 11/2/26</t>
        </is>
      </c>
      <c r="H129" t="n">
        <v>14113.43</v>
      </c>
      <c r="I129" t="inlineStr"/>
    </row>
    <row r="130">
      <c r="A130" t="inlineStr">
        <is>
          <t>84MAY26</t>
        </is>
      </c>
      <c r="B130" t="inlineStr">
        <is>
          <t>GD-24-012438</t>
        </is>
      </c>
      <c r="C130" t="inlineStr">
        <is>
          <t>1131 Mcclure St ; 5303 Duncan St</t>
        </is>
      </c>
      <c r="D130" t="inlineStr">
        <is>
          <t>Munhall</t>
        </is>
      </c>
      <c r="E130" t="inlineStr">
        <is>
          <t>Active</t>
        </is>
      </c>
      <c r="F130" t="inlineStr">
        <is>
          <t>excluded</t>
        </is>
      </c>
      <c r="G130" t="inlineStr">
        <is>
          <t>Handbill / short-description defect – Sheriff says sale must be postponed; Bankruptcy dismissal / relief-from-stay docs</t>
        </is>
      </c>
      <c r="H130" t="n">
        <v>32288.96</v>
      </c>
      <c r="I130" t="inlineStr">
        <is>
          <t>Bankruptcy history: 1 filing(s)</t>
        </is>
      </c>
    </row>
    <row r="131">
      <c r="A131" t="inlineStr">
        <is>
          <t>91MAY26</t>
        </is>
      </c>
      <c r="B131" t="inlineStr">
        <is>
          <t>MG-25-000140</t>
        </is>
      </c>
      <c r="C131" t="inlineStr">
        <is>
          <t>5606 5th Street</t>
        </is>
      </c>
      <c r="D131" t="inlineStr">
        <is>
          <t>Baldwin Boro</t>
        </is>
      </c>
      <c r="E131" t="inlineStr">
        <is>
          <t>Active</t>
        </is>
      </c>
      <c r="F131" t="inlineStr">
        <is>
          <t>excluded</t>
        </is>
      </c>
      <c r="G131" t="inlineStr">
        <is>
          <t>Bankruptcy dismissal / relief-from-stay docs</t>
        </is>
      </c>
      <c r="H131" t="n">
        <v>5349.23</v>
      </c>
      <c r="I131" t="inlineStr">
        <is>
          <t>Bankruptcy history: 2 filing(s)</t>
        </is>
      </c>
    </row>
    <row r="132">
      <c r="A132" t="inlineStr">
        <is>
          <t>92MAY26</t>
        </is>
      </c>
      <c r="B132" t="inlineStr">
        <is>
          <t>GD-23-001043</t>
        </is>
      </c>
      <c r="C132" t="inlineStr">
        <is>
          <t>70 Harlem Avenue</t>
        </is>
      </c>
      <c r="D132" t="inlineStr">
        <is>
          <t>Stowe</t>
        </is>
      </c>
      <c r="E132" t="inlineStr">
        <is>
          <t>Active</t>
        </is>
      </c>
      <c r="F132" t="inlineStr">
        <is>
          <t>excluded</t>
        </is>
      </c>
      <c r="G132" t="inlineStr">
        <is>
          <t>Docs outstanding: Rule 3129.2 notice of sale / affidavit of service; Proof of service on defendant; Rule 3129.3 notice of postponed sale date (for 11/2/26); Court order (O/C) approving postponements covering 1 sale date(s): 11/2/26</t>
        </is>
      </c>
      <c r="H132" t="n">
        <v>7830.69</v>
      </c>
      <c r="I132" t="inlineStr"/>
    </row>
    <row r="133">
      <c r="A133" t="inlineStr">
        <is>
          <t>93MAY26</t>
        </is>
      </c>
      <c r="B133" t="inlineStr">
        <is>
          <t>MG-24-000332</t>
        </is>
      </c>
      <c r="C133" t="inlineStr">
        <is>
          <t>1251 8th Avenue</t>
        </is>
      </c>
      <c r="D133" t="inlineStr">
        <is>
          <t>Harrison</t>
        </is>
      </c>
      <c r="E133" t="inlineStr">
        <is>
          <t>Active</t>
        </is>
      </c>
      <c r="F133" t="inlineStr">
        <is>
          <t>excluded</t>
        </is>
      </c>
      <c r="G133" t="inlineStr">
        <is>
          <t>Docs outstanding: Rule 3129.2 notice of sale / affidavit of service; Proof of service on defendant; Proof of mailing/posting: need proof of mailing; Court order (O/C) approving postponements covering 3 sale date(s): 9/8/26, 10/5/26, 11/2/26; Rule 3129.3 notice of postponed sale date (for 11/2/26)</t>
        </is>
      </c>
      <c r="H133" t="n">
        <v>9668.690000000001</v>
      </c>
      <c r="I133" t="inlineStr"/>
    </row>
    <row r="134">
      <c r="A134" t="inlineStr">
        <is>
          <t>94MAY26</t>
        </is>
      </c>
      <c r="B134" t="inlineStr">
        <is>
          <t>MG-22-000360</t>
        </is>
      </c>
      <c r="C134" t="inlineStr">
        <is>
          <t>415 Valley View Dr</t>
        </is>
      </c>
      <c r="D134" t="inlineStr">
        <is>
          <t>Crescent</t>
        </is>
      </c>
      <c r="E134" t="inlineStr">
        <is>
          <t>Active</t>
        </is>
      </c>
      <c r="F134" t="inlineStr">
        <is>
          <t>excluded</t>
        </is>
      </c>
      <c r="G134" t="inlineStr">
        <is>
          <t>Docs outstanding: Rule 3129.2 notice of sale / affidavit of service; Proof of service on defendant; Proof of mailing/posting: need proof of mailing; Rule 3129.3 notice of postponed sale date (for 11/2/26); Court order (O/C) approving postponements covering 3 sale date(s): 9/8/26, 10/5/26, 11/2/26</t>
        </is>
      </c>
      <c r="H134" t="n">
        <v>4744.6</v>
      </c>
      <c r="I134" t="inlineStr"/>
    </row>
    <row r="135">
      <c r="A135" t="inlineStr">
        <is>
          <t>95MAY26</t>
        </is>
      </c>
      <c r="B135" t="inlineStr">
        <is>
          <t>MG-24-000891</t>
        </is>
      </c>
      <c r="C135" t="inlineStr">
        <is>
          <t>310 Center Ave</t>
        </is>
      </c>
      <c r="D135" t="inlineStr">
        <is>
          <t>Elizabeth Boro</t>
        </is>
      </c>
      <c r="E135" t="inlineStr">
        <is>
          <t>Active</t>
        </is>
      </c>
      <c r="F135" t="inlineStr">
        <is>
          <t>excluded</t>
        </is>
      </c>
      <c r="G135" t="inlineStr">
        <is>
          <t>Docs outstanding: Rule 3129.2 notice of sale / affidavit of service; Proof of service on defendant; Rule 3129.3 notice of postponed sale date (for 11/2/26); Court order (O/C) approving postponements covering 1 sale date(s): 11/2/26</t>
        </is>
      </c>
      <c r="H135" t="n">
        <v>2875</v>
      </c>
      <c r="I135" t="inlineStr"/>
    </row>
    <row r="136">
      <c r="A136" t="inlineStr">
        <is>
          <t>97MAY26</t>
        </is>
      </c>
      <c r="B136" t="inlineStr">
        <is>
          <t>GD-23-007483</t>
        </is>
      </c>
      <c r="C136" t="inlineStr">
        <is>
          <t>602 Brown Ave</t>
        </is>
      </c>
      <c r="D136" t="inlineStr">
        <is>
          <t>Wilkins</t>
        </is>
      </c>
      <c r="E136" t="inlineStr">
        <is>
          <t>Active</t>
        </is>
      </c>
      <c r="F136" t="inlineStr">
        <is>
          <t>excluded</t>
        </is>
      </c>
      <c r="G136" t="inlineStr">
        <is>
          <t>Bankruptcy dismissal / relief-from-stay docs</t>
        </is>
      </c>
      <c r="H136" t="n">
        <v>5402.3</v>
      </c>
      <c r="I136" t="inlineStr">
        <is>
          <t>Bankruptcy history: 1 filing(s)</t>
        </is>
      </c>
    </row>
    <row r="137">
      <c r="A137" t="inlineStr">
        <is>
          <t>103MAY26</t>
        </is>
      </c>
      <c r="B137" t="inlineStr">
        <is>
          <t>MG-23-000641</t>
        </is>
      </c>
      <c r="C137" t="inlineStr">
        <is>
          <t>117 Archberry Drive</t>
        </is>
      </c>
      <c r="D137" t="inlineStr">
        <is>
          <t>Marshall</t>
        </is>
      </c>
      <c r="E137" t="inlineStr">
        <is>
          <t>Active</t>
        </is>
      </c>
      <c r="F137" t="inlineStr">
        <is>
          <t>excluded</t>
        </is>
      </c>
      <c r="G137" t="inlineStr">
        <is>
          <t>Docs outstanding: Proof of service on defendants; Rule 3129.2 notice of sale / affidavit of service</t>
        </is>
      </c>
      <c r="H137" t="n">
        <v>22521.4</v>
      </c>
      <c r="I137" t="inlineStr"/>
    </row>
    <row r="138">
      <c r="A138" t="inlineStr">
        <is>
          <t>126MAY26</t>
        </is>
      </c>
      <c r="B138" t="inlineStr">
        <is>
          <t>GD-25-013047</t>
        </is>
      </c>
      <c r="C138" t="inlineStr">
        <is>
          <t>Margaret Street</t>
        </is>
      </c>
      <c r="D138" t="inlineStr">
        <is>
          <t>Munhall</t>
        </is>
      </c>
      <c r="E138" t="inlineStr">
        <is>
          <t>Active</t>
        </is>
      </c>
      <c r="F138" t="inlineStr">
        <is>
          <t>excluded</t>
        </is>
      </c>
      <c r="G138" t="inlineStr">
        <is>
          <t>Non-residential (Vacant Land)</t>
        </is>
      </c>
      <c r="H138" t="n">
        <v>14427.81</v>
      </c>
      <c r="I138" t="inlineStr">
        <is>
          <t>Court decree on file</t>
        </is>
      </c>
    </row>
    <row r="139">
      <c r="A139" t="inlineStr">
        <is>
          <t>12JUN26</t>
        </is>
      </c>
      <c r="B139" t="inlineStr">
        <is>
          <t>GD-25-004752</t>
        </is>
      </c>
      <c r="C139" t="inlineStr">
        <is>
          <t>255 Almar Dr</t>
        </is>
      </c>
      <c r="D139" t="inlineStr">
        <is>
          <t>Penn Hills</t>
        </is>
      </c>
      <c r="E139" t="inlineStr">
        <is>
          <t>Active</t>
        </is>
      </c>
      <c r="F139" t="inlineStr">
        <is>
          <t>ok</t>
        </is>
      </c>
      <c r="G139" t="inlineStr">
        <is>
          <t>Sheriff OK box checked</t>
        </is>
      </c>
      <c r="H139" t="n">
        <v>4211.85</v>
      </c>
      <c r="I139" t="inlineStr"/>
    </row>
    <row r="140">
      <c r="A140" t="inlineStr">
        <is>
          <t>13JUN26</t>
        </is>
      </c>
      <c r="B140" t="inlineStr">
        <is>
          <t>GD-25-010294</t>
        </is>
      </c>
      <c r="C140" t="inlineStr">
        <is>
          <t>123 Cherry Street</t>
        </is>
      </c>
      <c r="D140" t="inlineStr">
        <is>
          <t>Etna</t>
        </is>
      </c>
      <c r="E140" t="inlineStr">
        <is>
          <t>Postponed to 5/3/2027</t>
        </is>
      </c>
      <c r="F140" t="inlineStr">
        <is>
          <t>excluded</t>
        </is>
      </c>
      <c r="G140" t="inlineStr">
        <is>
          <t>Postponed to 5/3/2027</t>
        </is>
      </c>
      <c r="H140" t="n">
        <v>28587.33</v>
      </c>
      <c r="I140" t="inlineStr"/>
    </row>
    <row r="141">
      <c r="A141" t="inlineStr">
        <is>
          <t>22JUN26</t>
        </is>
      </c>
      <c r="B141" t="inlineStr">
        <is>
          <t>MG-25-000865</t>
        </is>
      </c>
      <c r="C141" t="inlineStr">
        <is>
          <t>324 Catherine Street</t>
        </is>
      </c>
      <c r="D141" t="inlineStr">
        <is>
          <t>McKees Rocks</t>
        </is>
      </c>
      <c r="E141" t="inlineStr">
        <is>
          <t>Active</t>
        </is>
      </c>
      <c r="F141" t="inlineStr">
        <is>
          <t>ok</t>
        </is>
      </c>
      <c r="G141" t="inlineStr">
        <is>
          <t>Sheriff OK box checked</t>
        </is>
      </c>
      <c r="H141" t="n">
        <v>9606.040000000001</v>
      </c>
      <c r="I141" t="inlineStr">
        <is>
          <t>Prior winning bidder forfeited (property re-offered)</t>
        </is>
      </c>
    </row>
    <row r="142">
      <c r="A142" t="inlineStr">
        <is>
          <t>24JUN26</t>
        </is>
      </c>
      <c r="B142" t="inlineStr">
        <is>
          <t>GD-25-000194</t>
        </is>
      </c>
      <c r="C142" t="inlineStr">
        <is>
          <t>227 Bruce Street ; 833 Woodworth Avenue ; 48-50 Morse Way</t>
        </is>
      </c>
      <c r="D142" t="inlineStr">
        <is>
          <t>McKees Rocks</t>
        </is>
      </c>
      <c r="E142" t="inlineStr">
        <is>
          <t>Active</t>
        </is>
      </c>
      <c r="F142" t="inlineStr">
        <is>
          <t>excluded</t>
        </is>
      </c>
      <c r="G142" t="inlineStr">
        <is>
          <t>Bankruptcy dismissal / relief-from-stay docs</t>
        </is>
      </c>
      <c r="H142" t="n">
        <v>12956.59</v>
      </c>
      <c r="I142" t="inlineStr">
        <is>
          <t>Bankruptcy history: 1 filing(s)</t>
        </is>
      </c>
    </row>
    <row r="143">
      <c r="A143" t="inlineStr">
        <is>
          <t>36JUN26</t>
        </is>
      </c>
      <c r="B143" t="inlineStr">
        <is>
          <t>GD-24-015132</t>
        </is>
      </c>
      <c r="C143" t="inlineStr">
        <is>
          <t>8-10 Almeda Street</t>
        </is>
      </c>
      <c r="D143" t="inlineStr">
        <is>
          <t>Pittsburgh</t>
        </is>
      </c>
      <c r="E143" t="inlineStr">
        <is>
          <t>Active</t>
        </is>
      </c>
      <c r="F143" t="inlineStr">
        <is>
          <t>excluded</t>
        </is>
      </c>
      <c r="G143" t="inlineStr">
        <is>
          <t>Bankruptcy dismissal / relief-from-stay docs</t>
        </is>
      </c>
      <c r="H143" t="n">
        <v>6731.99</v>
      </c>
      <c r="I143" t="inlineStr">
        <is>
          <t>Bankruptcy history: 1 filing(s)</t>
        </is>
      </c>
    </row>
    <row r="144">
      <c r="A144" t="inlineStr">
        <is>
          <t>39JUN26</t>
        </is>
      </c>
      <c r="B144" t="inlineStr">
        <is>
          <t>MG-25-000383</t>
        </is>
      </c>
      <c r="C144" t="inlineStr">
        <is>
          <t>3 Reserve Street</t>
        </is>
      </c>
      <c r="D144" t="inlineStr">
        <is>
          <t>Millvale</t>
        </is>
      </c>
      <c r="E144" t="inlineStr">
        <is>
          <t>Postponed to 1/4/2027</t>
        </is>
      </c>
      <c r="F144" t="inlineStr">
        <is>
          <t>excluded</t>
        </is>
      </c>
      <c r="G144" t="inlineStr">
        <is>
          <t>Postponed to 1/4/2027</t>
        </is>
      </c>
      <c r="H144" t="n">
        <v>14502.33</v>
      </c>
      <c r="I144" t="inlineStr"/>
    </row>
    <row r="145">
      <c r="A145" t="inlineStr">
        <is>
          <t>40JUN26</t>
        </is>
      </c>
      <c r="B145" t="inlineStr">
        <is>
          <t>MG-25-000998</t>
        </is>
      </c>
      <c r="C145" t="inlineStr">
        <is>
          <t>1521 Woodward Avenue</t>
        </is>
      </c>
      <c r="D145" t="inlineStr">
        <is>
          <t>Stowe</t>
        </is>
      </c>
      <c r="E145" t="inlineStr">
        <is>
          <t>Active</t>
        </is>
      </c>
      <c r="F145" t="inlineStr">
        <is>
          <t>excluded</t>
        </is>
      </c>
      <c r="G145" t="inlineStr">
        <is>
          <t>Bankruptcy dismissal / relief-from-stay docs</t>
        </is>
      </c>
      <c r="H145" t="n">
        <v>6104.52</v>
      </c>
      <c r="I145" t="inlineStr">
        <is>
          <t>Bankruptcy history: 1 filing(s)</t>
        </is>
      </c>
    </row>
    <row r="146">
      <c r="A146" t="inlineStr">
        <is>
          <t>52JUN26</t>
        </is>
      </c>
      <c r="B146" t="inlineStr">
        <is>
          <t>MG-24-000994</t>
        </is>
      </c>
      <c r="C146" t="inlineStr">
        <is>
          <t>612 Beall Way</t>
        </is>
      </c>
      <c r="D146" t="inlineStr">
        <is>
          <t>Sewickley</t>
        </is>
      </c>
      <c r="E146" t="inlineStr">
        <is>
          <t>Active</t>
        </is>
      </c>
      <c r="F146" t="inlineStr">
        <is>
          <t>ok</t>
        </is>
      </c>
      <c r="G146" t="inlineStr">
        <is>
          <t>Sheriff OK box checked</t>
        </is>
      </c>
      <c r="H146" t="n">
        <v>1980.08</v>
      </c>
      <c r="I146" t="inlineStr"/>
    </row>
    <row r="147">
      <c r="A147" t="inlineStr">
        <is>
          <t>56JUN26</t>
        </is>
      </c>
      <c r="B147" t="inlineStr">
        <is>
          <t>GD-25-006225</t>
        </is>
      </c>
      <c r="C147" t="inlineStr">
        <is>
          <t>660 Baldwin Street</t>
        </is>
      </c>
      <c r="D147" t="inlineStr">
        <is>
          <t>Bridgeville</t>
        </is>
      </c>
      <c r="E147" t="inlineStr">
        <is>
          <t>Postponed to 2/1/2027</t>
        </is>
      </c>
      <c r="F147" t="inlineStr">
        <is>
          <t>excluded</t>
        </is>
      </c>
      <c r="G147" t="inlineStr">
        <is>
          <t>Postponed to 2/1/2027</t>
        </is>
      </c>
      <c r="H147" t="n">
        <v>18616.3</v>
      </c>
      <c r="I147" t="inlineStr"/>
    </row>
    <row r="148">
      <c r="A148" t="inlineStr">
        <is>
          <t>76JUN26</t>
        </is>
      </c>
      <c r="B148" t="inlineStr">
        <is>
          <t>GD-25-000512</t>
        </is>
      </c>
      <c r="C148" t="inlineStr">
        <is>
          <t>6844 Thomas Boulevard</t>
        </is>
      </c>
      <c r="D148" t="inlineStr">
        <is>
          <t>Pittsburgh</t>
        </is>
      </c>
      <c r="E148" t="inlineStr">
        <is>
          <t>Active</t>
        </is>
      </c>
      <c r="F148" t="inlineStr">
        <is>
          <t>excluded</t>
        </is>
      </c>
      <c r="G148" t="inlineStr">
        <is>
          <t>Bankruptcy dismissal / relief-from-stay docs</t>
        </is>
      </c>
      <c r="H148" t="n">
        <v>11794.65</v>
      </c>
      <c r="I148" t="inlineStr">
        <is>
          <t>Bankruptcy history: 1 filing(s)</t>
        </is>
      </c>
    </row>
    <row r="149">
      <c r="A149" t="inlineStr">
        <is>
          <t>79JUN26</t>
        </is>
      </c>
      <c r="B149" t="inlineStr">
        <is>
          <t>MG-25-000796</t>
        </is>
      </c>
      <c r="C149" t="inlineStr">
        <is>
          <t>105 Allison Drive</t>
        </is>
      </c>
      <c r="D149" t="inlineStr">
        <is>
          <t>Indiana</t>
        </is>
      </c>
      <c r="E149" t="inlineStr">
        <is>
          <t>Stayed</t>
        </is>
      </c>
      <c r="F149" t="inlineStr">
        <is>
          <t>excluded</t>
        </is>
      </c>
      <c r="G149" t="inlineStr">
        <is>
          <t>Stayed</t>
        </is>
      </c>
      <c r="H149" t="n">
        <v>5611.44</v>
      </c>
      <c r="I149" t="inlineStr">
        <is>
          <t>Save Your Home program involvement
Bankruptcy history: 1 filing(s)</t>
        </is>
      </c>
    </row>
    <row r="150">
      <c r="A150" t="inlineStr">
        <is>
          <t>93JUN26</t>
        </is>
      </c>
      <c r="B150" t="inlineStr">
        <is>
          <t>GD-24-008586</t>
        </is>
      </c>
      <c r="C150" t="inlineStr">
        <is>
          <t>550 Benjamin Street</t>
        </is>
      </c>
      <c r="D150" t="inlineStr">
        <is>
          <t>West Deer</t>
        </is>
      </c>
      <c r="E150" t="inlineStr">
        <is>
          <t>Postponed to 5/3/2027</t>
        </is>
      </c>
      <c r="F150" t="inlineStr">
        <is>
          <t>excluded</t>
        </is>
      </c>
      <c r="G150" t="inlineStr">
        <is>
          <t>Postponed to 5/3/2027</t>
        </is>
      </c>
      <c r="H150" t="n">
        <v>17146.49</v>
      </c>
      <c r="I150" t="inlineStr"/>
    </row>
    <row r="151">
      <c r="A151" t="inlineStr">
        <is>
          <t>105JUN26</t>
        </is>
      </c>
      <c r="B151" t="inlineStr">
        <is>
          <t>GD-24-011362</t>
        </is>
      </c>
      <c r="C151" t="inlineStr">
        <is>
          <t>204 Milliken Avenue</t>
        </is>
      </c>
      <c r="D151" t="inlineStr">
        <is>
          <t>Penn Hills</t>
        </is>
      </c>
      <c r="E151" t="inlineStr">
        <is>
          <t>Active</t>
        </is>
      </c>
      <c r="F151" t="inlineStr">
        <is>
          <t>excluded</t>
        </is>
      </c>
      <c r="G151" t="inlineStr">
        <is>
          <t>Docs outstanding: Court order (O/C) approving postponements covering 1 sale date(s): 11/2/26</t>
        </is>
      </c>
      <c r="H151" t="n">
        <v>28910.03</v>
      </c>
      <c r="I151" t="inlineStr"/>
    </row>
    <row r="152">
      <c r="A152" t="inlineStr">
        <is>
          <t>117JUN26</t>
        </is>
      </c>
      <c r="B152" t="inlineStr">
        <is>
          <t>GD-25-005200</t>
        </is>
      </c>
      <c r="C152" t="inlineStr">
        <is>
          <t>1442 Wilson Avenue</t>
        </is>
      </c>
      <c r="D152" t="inlineStr">
        <is>
          <t>South Park</t>
        </is>
      </c>
      <c r="E152" t="inlineStr">
        <is>
          <t>Postponed to 5/3/2027</t>
        </is>
      </c>
      <c r="F152" t="inlineStr">
        <is>
          <t>excluded</t>
        </is>
      </c>
      <c r="G152" t="inlineStr">
        <is>
          <t>Postponed to 5/3/2027</t>
        </is>
      </c>
      <c r="H152" t="n">
        <v>135539.49</v>
      </c>
      <c r="I152" t="inlineStr"/>
    </row>
    <row r="153">
      <c r="A153" t="inlineStr">
        <is>
          <t>125JUN26</t>
        </is>
      </c>
      <c r="B153" t="inlineStr">
        <is>
          <t>MG-24-000820</t>
        </is>
      </c>
      <c r="C153" t="inlineStr">
        <is>
          <t>139 Claus Avenue</t>
        </is>
      </c>
      <c r="D153" t="inlineStr">
        <is>
          <t>Pittsburgh</t>
        </is>
      </c>
      <c r="E153" t="inlineStr">
        <is>
          <t>Active</t>
        </is>
      </c>
      <c r="F153" t="inlineStr">
        <is>
          <t>excluded</t>
        </is>
      </c>
      <c r="G153" t="inlineStr">
        <is>
          <t>Docs outstanding: Court order (O/C) approving postponements covering 1 sale date(s): 11/2/26</t>
        </is>
      </c>
      <c r="H153" t="n">
        <v>2249.91</v>
      </c>
      <c r="I153" t="inlineStr"/>
    </row>
    <row r="154">
      <c r="A154" t="inlineStr">
        <is>
          <t>129JUN26</t>
        </is>
      </c>
      <c r="B154" t="inlineStr">
        <is>
          <t>MG-24-000250</t>
        </is>
      </c>
      <c r="C154" t="inlineStr">
        <is>
          <t>503 Paulson Ave</t>
        </is>
      </c>
      <c r="D154" t="inlineStr">
        <is>
          <t>Pittsburgh</t>
        </is>
      </c>
      <c r="E154" t="inlineStr">
        <is>
          <t>Postponed to 1/4/2027</t>
        </is>
      </c>
      <c r="F154" t="inlineStr">
        <is>
          <t>excluded</t>
        </is>
      </c>
      <c r="G154" t="inlineStr">
        <is>
          <t>Postponed to 1/4/2027</t>
        </is>
      </c>
      <c r="H154" t="n">
        <v>2874.19</v>
      </c>
      <c r="I154" t="inlineStr"/>
    </row>
    <row r="155">
      <c r="A155" t="inlineStr">
        <is>
          <t>140JUN26</t>
        </is>
      </c>
      <c r="B155" t="inlineStr">
        <is>
          <t>GD-21-009522</t>
        </is>
      </c>
      <c r="C155" t="inlineStr">
        <is>
          <t>716 East 18th Avenue</t>
        </is>
      </c>
      <c r="D155" t="inlineStr">
        <is>
          <t>Munhall</t>
        </is>
      </c>
      <c r="E155" t="inlineStr">
        <is>
          <t>Postponed to 12/7/2026</t>
        </is>
      </c>
      <c r="F155" t="inlineStr">
        <is>
          <t>excluded</t>
        </is>
      </c>
      <c r="G155" t="inlineStr">
        <is>
          <t>Postponed to 12/7/2026</t>
        </is>
      </c>
      <c r="H155" t="n">
        <v>30745.35</v>
      </c>
      <c r="I155" t="inlineStr"/>
    </row>
    <row r="156">
      <c r="A156" t="inlineStr">
        <is>
          <t>143JUN26</t>
        </is>
      </c>
      <c r="B156" t="inlineStr">
        <is>
          <t>GD-24-015333</t>
        </is>
      </c>
      <c r="C156" t="inlineStr">
        <is>
          <t>960 Penn Ave</t>
        </is>
      </c>
      <c r="D156" t="inlineStr">
        <is>
          <t>Pittsburgh</t>
        </is>
      </c>
      <c r="E156" t="inlineStr">
        <is>
          <t>Active</t>
        </is>
      </c>
      <c r="F156" t="inlineStr">
        <is>
          <t>excluded</t>
        </is>
      </c>
      <c r="G156" t="inlineStr">
        <is>
          <t>Non-residential (Commercial)</t>
        </is>
      </c>
      <c r="H156" t="n">
        <v>7897.68</v>
      </c>
      <c r="I156" t="inlineStr"/>
    </row>
    <row r="157">
      <c r="A157" t="inlineStr">
        <is>
          <t>153JUN26</t>
        </is>
      </c>
      <c r="B157" t="inlineStr">
        <is>
          <t>MG-25-000691</t>
        </is>
      </c>
      <c r="C157" t="inlineStr">
        <is>
          <t>524 Lincoln Hall Road</t>
        </is>
      </c>
      <c r="D157" t="inlineStr">
        <is>
          <t>Elizabeth Twp</t>
        </is>
      </c>
      <c r="E157" t="inlineStr">
        <is>
          <t>Active</t>
        </is>
      </c>
      <c r="F157" t="inlineStr">
        <is>
          <t>excluded</t>
        </is>
      </c>
      <c r="G157" t="inlineStr">
        <is>
          <t>Bankruptcy dismissal / relief-from-stay docs (BK 26-22049)</t>
        </is>
      </c>
      <c r="H157" t="n">
        <v>7781.47</v>
      </c>
      <c r="I157" t="inlineStr">
        <is>
          <t>Bankruptcy history: 1 filing(s)</t>
        </is>
      </c>
    </row>
    <row r="158">
      <c r="A158" t="inlineStr">
        <is>
          <t>2JUL26</t>
        </is>
      </c>
      <c r="B158" t="inlineStr">
        <is>
          <t>MG-24-000099</t>
        </is>
      </c>
      <c r="C158" t="inlineStr">
        <is>
          <t>820 Church St Ext</t>
        </is>
      </c>
      <c r="D158" t="inlineStr">
        <is>
          <t>Turtle Creek</t>
        </is>
      </c>
      <c r="E158" t="inlineStr">
        <is>
          <t>Postponed to 1/4/2027</t>
        </is>
      </c>
      <c r="F158" t="inlineStr">
        <is>
          <t>excluded</t>
        </is>
      </c>
      <c r="G158" t="inlineStr">
        <is>
          <t>Postponed to 1/4/2027</t>
        </is>
      </c>
      <c r="H158" t="n">
        <v>9689.4</v>
      </c>
      <c r="I158" t="inlineStr"/>
    </row>
    <row r="159">
      <c r="A159" t="inlineStr">
        <is>
          <t>4JUL26</t>
        </is>
      </c>
      <c r="B159" t="inlineStr">
        <is>
          <t>MG-26-000089</t>
        </is>
      </c>
      <c r="C159" t="inlineStr">
        <is>
          <t>912 Maple Avenue</t>
        </is>
      </c>
      <c r="D159" t="inlineStr">
        <is>
          <t>Castle Shannon</t>
        </is>
      </c>
      <c r="E159" t="inlineStr">
        <is>
          <t>Stayed</t>
        </is>
      </c>
      <c r="F159" t="inlineStr">
        <is>
          <t>excluded</t>
        </is>
      </c>
      <c r="G159" t="inlineStr">
        <is>
          <t>Stayed</t>
        </is>
      </c>
      <c r="H159" t="n">
        <v>4862.6</v>
      </c>
      <c r="I159" t="inlineStr"/>
    </row>
    <row r="160">
      <c r="A160" t="inlineStr">
        <is>
          <t>5JUL26</t>
        </is>
      </c>
      <c r="B160" t="inlineStr">
        <is>
          <t>MG-26-000064</t>
        </is>
      </c>
      <c r="C160" t="inlineStr">
        <is>
          <t>3124 Universal Street</t>
        </is>
      </c>
      <c r="D160" t="inlineStr">
        <is>
          <t>Pittsburgh</t>
        </is>
      </c>
      <c r="E160" t="inlineStr">
        <is>
          <t>Stayed</t>
        </is>
      </c>
      <c r="F160" t="inlineStr">
        <is>
          <t>excluded</t>
        </is>
      </c>
      <c r="G160" t="inlineStr">
        <is>
          <t>Stayed</t>
        </is>
      </c>
      <c r="H160" t="n">
        <v>3247.47</v>
      </c>
      <c r="I160" t="inlineStr">
        <is>
          <t>Bankruptcy history: 1 filing(s)</t>
        </is>
      </c>
    </row>
    <row r="161">
      <c r="A161" t="inlineStr">
        <is>
          <t>10JUL26</t>
        </is>
      </c>
      <c r="B161" t="inlineStr">
        <is>
          <t>MG-21-000216</t>
        </is>
      </c>
      <c r="C161" t="inlineStr">
        <is>
          <t>321 Avenue F</t>
        </is>
      </c>
      <c r="D161" t="inlineStr">
        <is>
          <t>Forest Hills</t>
        </is>
      </c>
      <c r="E161" t="inlineStr">
        <is>
          <t>Active</t>
        </is>
      </c>
      <c r="F161" t="inlineStr">
        <is>
          <t>excluded</t>
        </is>
      </c>
      <c r="G161" t="inlineStr">
        <is>
          <t>Docs outstanding: Proof of service on defendant; Court order (O/C) approving postponements; Rule 3129.3 notice of postponed sale date (for 11/2/26)</t>
        </is>
      </c>
      <c r="H161" t="n">
        <v>8766.32</v>
      </c>
      <c r="I161" t="inlineStr"/>
    </row>
    <row r="162">
      <c r="A162" t="inlineStr">
        <is>
          <t>11JUL26</t>
        </is>
      </c>
      <c r="B162" t="inlineStr">
        <is>
          <t>MG-25-000993</t>
        </is>
      </c>
      <c r="C162" t="inlineStr">
        <is>
          <t>4605 Elm Street</t>
        </is>
      </c>
      <c r="D162" t="inlineStr">
        <is>
          <t>Versailles</t>
        </is>
      </c>
      <c r="E162" t="inlineStr">
        <is>
          <t>Active</t>
        </is>
      </c>
      <c r="F162" t="inlineStr">
        <is>
          <t>excluded</t>
        </is>
      </c>
      <c r="G162" t="inlineStr">
        <is>
          <t>Docs outstanding: Proof of service on defendant; Court order (O/C) approving postponements covering 1 sale date(s): 11/2/26</t>
        </is>
      </c>
      <c r="H162" t="n">
        <v>6568.05</v>
      </c>
      <c r="I162" t="inlineStr"/>
    </row>
    <row r="163">
      <c r="A163" t="inlineStr">
        <is>
          <t>12JUL26</t>
        </is>
      </c>
      <c r="B163" t="inlineStr">
        <is>
          <t>MG-24-000084</t>
        </is>
      </c>
      <c r="C163" t="inlineStr">
        <is>
          <t>147 Sherman Street</t>
        </is>
      </c>
      <c r="D163" t="inlineStr">
        <is>
          <t>Etna</t>
        </is>
      </c>
      <c r="E163" t="inlineStr">
        <is>
          <t>Active</t>
        </is>
      </c>
      <c r="F163" t="inlineStr">
        <is>
          <t>excluded</t>
        </is>
      </c>
      <c r="G163" t="inlineStr">
        <is>
          <t>Handbill / short-description defect – Sheriff says sale must be postponed; Bankruptcy dismissal / relief-from-stay docs</t>
        </is>
      </c>
      <c r="H163" t="n">
        <v>32287.58</v>
      </c>
      <c r="I163" t="inlineStr">
        <is>
          <t>Bankruptcy history: 1 filing(s)</t>
        </is>
      </c>
    </row>
    <row r="164">
      <c r="A164" t="inlineStr">
        <is>
          <t>14JUL26</t>
        </is>
      </c>
      <c r="B164" t="inlineStr">
        <is>
          <t>MG-24-000120</t>
        </is>
      </c>
      <c r="C164" t="inlineStr">
        <is>
          <t>4908 Sardis Rd</t>
        </is>
      </c>
      <c r="D164" t="inlineStr">
        <is>
          <t>Plum</t>
        </is>
      </c>
      <c r="E164" t="inlineStr">
        <is>
          <t>Active</t>
        </is>
      </c>
      <c r="F164" t="inlineStr">
        <is>
          <t>ok</t>
        </is>
      </c>
      <c r="G164" t="inlineStr">
        <is>
          <t>Sheriff OK box checked</t>
        </is>
      </c>
      <c r="H164" t="n">
        <v>9488.08</v>
      </c>
      <c r="I164" t="inlineStr"/>
    </row>
    <row r="165">
      <c r="A165" t="inlineStr">
        <is>
          <t>21JUL26</t>
        </is>
      </c>
      <c r="B165" t="inlineStr">
        <is>
          <t>GD-23-009938</t>
        </is>
      </c>
      <c r="C165" t="inlineStr">
        <is>
          <t>1501 Foliage St</t>
        </is>
      </c>
      <c r="D165" t="inlineStr">
        <is>
          <t>Wilkinsburg</t>
        </is>
      </c>
      <c r="E165" t="inlineStr">
        <is>
          <t>Active</t>
        </is>
      </c>
      <c r="F165" t="inlineStr">
        <is>
          <t>ok</t>
        </is>
      </c>
      <c r="G165" t="inlineStr">
        <is>
          <t>Sheriff OK box checked</t>
        </is>
      </c>
      <c r="H165" t="n">
        <v>6500</v>
      </c>
      <c r="I165" t="inlineStr">
        <is>
          <t>Free &amp; clear court order, min bid $6,500.00
Prior winning bidder forfeited (property re-offered)</t>
        </is>
      </c>
    </row>
    <row r="166">
      <c r="A166" t="inlineStr">
        <is>
          <t>33JUL26</t>
        </is>
      </c>
      <c r="B166" t="inlineStr">
        <is>
          <t>GD-24-014477</t>
        </is>
      </c>
      <c r="C166" t="inlineStr">
        <is>
          <t>17 Charles Street ; 15 Charles St ; 13 Christina Street</t>
        </is>
      </c>
      <c r="D166" t="inlineStr">
        <is>
          <t>Dravosburg</t>
        </is>
      </c>
      <c r="E166" t="inlineStr">
        <is>
          <t>Active</t>
        </is>
      </c>
      <c r="F166" t="inlineStr">
        <is>
          <t>excluded</t>
        </is>
      </c>
      <c r="G166" t="inlineStr">
        <is>
          <t>Docs outstanding: Rule 3129.3 notice of postponed sale date (for 11/2/26); Court order (O/C) approving postponements covering 1 sale date(s): 11/2/26</t>
        </is>
      </c>
      <c r="H166" t="n">
        <v>66007.61</v>
      </c>
      <c r="I166" t="inlineStr"/>
    </row>
    <row r="167">
      <c r="A167" t="inlineStr">
        <is>
          <t>38JUL26</t>
        </is>
      </c>
      <c r="B167" t="inlineStr">
        <is>
          <t>GD-25-002137</t>
        </is>
      </c>
      <c r="C167" t="inlineStr">
        <is>
          <t>1112-1118 Chartiers Ave</t>
        </is>
      </c>
      <c r="D167" t="inlineStr">
        <is>
          <t>McKees Rocks</t>
        </is>
      </c>
      <c r="E167" t="inlineStr">
        <is>
          <t>Active</t>
        </is>
      </c>
      <c r="F167" t="inlineStr">
        <is>
          <t>excluded</t>
        </is>
      </c>
      <c r="G167" t="inlineStr">
        <is>
          <t>Non-residential (Commercial)</t>
        </is>
      </c>
      <c r="H167" t="n">
        <v>34538.66</v>
      </c>
      <c r="I167" t="inlineStr"/>
    </row>
    <row r="168">
      <c r="A168" t="inlineStr">
        <is>
          <t>40JUL26</t>
        </is>
      </c>
      <c r="B168" t="inlineStr">
        <is>
          <t>MG-25-000971</t>
        </is>
      </c>
      <c r="C168" t="inlineStr">
        <is>
          <t>615 7th St</t>
        </is>
      </c>
      <c r="D168" t="inlineStr">
        <is>
          <t>Pitcairn</t>
        </is>
      </c>
      <c r="E168" t="inlineStr">
        <is>
          <t>Active</t>
        </is>
      </c>
      <c r="F168" t="inlineStr">
        <is>
          <t>excluded</t>
        </is>
      </c>
      <c r="G168" t="inlineStr">
        <is>
          <t>Docs outstanding: Court order (O/C) approving postponements covering 1 sale date(s): 11/2/26</t>
        </is>
      </c>
      <c r="H168" t="n">
        <v>8845.040000000001</v>
      </c>
      <c r="I168" t="inlineStr"/>
    </row>
    <row r="169">
      <c r="A169" t="inlineStr">
        <is>
          <t>45JUL26</t>
        </is>
      </c>
      <c r="B169" t="inlineStr">
        <is>
          <t>GD-26-000759</t>
        </is>
      </c>
      <c r="C169" t="inlineStr">
        <is>
          <t>342 Terrace St ; Terrace St</t>
        </is>
      </c>
      <c r="D169" t="inlineStr">
        <is>
          <t>Bridgeville</t>
        </is>
      </c>
      <c r="E169" t="inlineStr">
        <is>
          <t>Active</t>
        </is>
      </c>
      <c r="F169" t="inlineStr">
        <is>
          <t>excluded</t>
        </is>
      </c>
      <c r="G169" t="inlineStr">
        <is>
          <t>Docs outstanding: Complete Rule 3129.2 notice/affidavit; Rule 3129.3 notice of postponed sale date (for 11/2/26)</t>
        </is>
      </c>
      <c r="H169" t="n">
        <v>8443.040000000001</v>
      </c>
      <c r="I169" t="inlineStr"/>
    </row>
    <row r="170">
      <c r="A170" t="inlineStr">
        <is>
          <t>46JUL26</t>
        </is>
      </c>
      <c r="B170" t="inlineStr">
        <is>
          <t>MG-26-000026</t>
        </is>
      </c>
      <c r="C170" t="inlineStr">
        <is>
          <t>1303 Craigview Drive</t>
        </is>
      </c>
      <c r="D170" t="inlineStr">
        <is>
          <t>Mount Lebanon</t>
        </is>
      </c>
      <c r="E170" t="inlineStr">
        <is>
          <t>Active</t>
        </is>
      </c>
      <c r="F170" t="inlineStr">
        <is>
          <t>almost</t>
        </is>
      </c>
      <c r="G170" t="inlineStr">
        <is>
          <t>Only Rule 3129.3 outstanding</t>
        </is>
      </c>
      <c r="H170" t="n">
        <v>30650.91</v>
      </c>
      <c r="I170" t="inlineStr">
        <is>
          <t>Save Your Home program involvement</t>
        </is>
      </c>
    </row>
    <row r="171">
      <c r="A171" t="inlineStr">
        <is>
          <t>47JUL26</t>
        </is>
      </c>
      <c r="B171" t="inlineStr">
        <is>
          <t>GD-25-011019</t>
        </is>
      </c>
      <c r="C171" t="inlineStr">
        <is>
          <t>433 Euclid Ave ; 843 Delaware Ave Rear</t>
        </is>
      </c>
      <c r="D171" t="inlineStr">
        <is>
          <t>Glassport</t>
        </is>
      </c>
      <c r="E171" t="inlineStr">
        <is>
          <t>Active</t>
        </is>
      </c>
      <c r="F171" t="inlineStr">
        <is>
          <t>excluded</t>
        </is>
      </c>
      <c r="G171" t="inlineStr">
        <is>
          <t>Docs outstanding: Court order (O/C) approving postponements covering 1 sale date(s): 11/2/26</t>
        </is>
      </c>
      <c r="H171" t="n">
        <v>31987.51</v>
      </c>
      <c r="I171" t="inlineStr"/>
    </row>
    <row r="172">
      <c r="A172" t="inlineStr">
        <is>
          <t>51JUL26</t>
        </is>
      </c>
      <c r="B172" t="inlineStr">
        <is>
          <t>GD-25-007832</t>
        </is>
      </c>
      <c r="C172" t="inlineStr">
        <is>
          <t>125 Shoup Street</t>
        </is>
      </c>
      <c r="D172" t="inlineStr">
        <is>
          <t>Millvale</t>
        </is>
      </c>
      <c r="E172" t="inlineStr">
        <is>
          <t>Active</t>
        </is>
      </c>
      <c r="F172" t="inlineStr">
        <is>
          <t>ok</t>
        </is>
      </c>
      <c r="G172" t="inlineStr">
        <is>
          <t>Sheriff OK box checked</t>
        </is>
      </c>
      <c r="H172" t="n">
        <v>36837.55</v>
      </c>
      <c r="I172" t="inlineStr"/>
    </row>
    <row r="173">
      <c r="A173" t="inlineStr">
        <is>
          <t>59JUL26</t>
        </is>
      </c>
      <c r="B173" t="inlineStr">
        <is>
          <t>GD-25-008194</t>
        </is>
      </c>
      <c r="C173" t="inlineStr">
        <is>
          <t>516 Vincent Street</t>
        </is>
      </c>
      <c r="D173" t="inlineStr">
        <is>
          <t>North Versailles</t>
        </is>
      </c>
      <c r="E173" t="inlineStr">
        <is>
          <t>Active</t>
        </is>
      </c>
      <c r="F173" t="inlineStr">
        <is>
          <t>ok</t>
        </is>
      </c>
      <c r="G173" t="inlineStr">
        <is>
          <t>Sheriff OK box checked</t>
        </is>
      </c>
      <c r="H173" t="n">
        <v>7600</v>
      </c>
      <c r="I173" t="inlineStr">
        <is>
          <t>Free &amp; clear court order, min bid $7,600.00</t>
        </is>
      </c>
    </row>
    <row r="174">
      <c r="A174" t="inlineStr">
        <is>
          <t>61JUL26</t>
        </is>
      </c>
      <c r="B174" t="inlineStr">
        <is>
          <t>GD-24-008441</t>
        </is>
      </c>
      <c r="C174" t="inlineStr">
        <is>
          <t>792 13th Street</t>
        </is>
      </c>
      <c r="D174" t="inlineStr">
        <is>
          <t>Stowe</t>
        </is>
      </c>
      <c r="E174" t="inlineStr">
        <is>
          <t>Postponed to 5/3/2027</t>
        </is>
      </c>
      <c r="F174" t="inlineStr">
        <is>
          <t>excluded</t>
        </is>
      </c>
      <c r="G174" t="inlineStr">
        <is>
          <t>Postponed to 5/3/2027</t>
        </is>
      </c>
      <c r="H174" t="n">
        <v>27409.3</v>
      </c>
      <c r="I174" t="inlineStr"/>
    </row>
    <row r="175">
      <c r="A175" t="inlineStr">
        <is>
          <t>72JUL26</t>
        </is>
      </c>
      <c r="B175" t="inlineStr">
        <is>
          <t>GD-24-007323</t>
        </is>
      </c>
      <c r="C175" t="inlineStr">
        <is>
          <t>150 East Virginia Avenue</t>
        </is>
      </c>
      <c r="D175" t="inlineStr">
        <is>
          <t>Munhall</t>
        </is>
      </c>
      <c r="E175" t="inlineStr">
        <is>
          <t>Active</t>
        </is>
      </c>
      <c r="F175" t="inlineStr">
        <is>
          <t>ok</t>
        </is>
      </c>
      <c r="G175" t="inlineStr">
        <is>
          <t>Sheriff OK box checked</t>
        </is>
      </c>
      <c r="H175" t="n">
        <v>28591.22</v>
      </c>
      <c r="I175" t="inlineStr"/>
    </row>
    <row r="176">
      <c r="A176" t="inlineStr">
        <is>
          <t>85JUL26</t>
        </is>
      </c>
      <c r="B176" t="inlineStr">
        <is>
          <t>MG-23-000945</t>
        </is>
      </c>
      <c r="C176" t="inlineStr">
        <is>
          <t>1221 Boyle St</t>
        </is>
      </c>
      <c r="D176" t="inlineStr">
        <is>
          <t>Pittsburgh</t>
        </is>
      </c>
      <c r="E176" t="inlineStr">
        <is>
          <t>Active</t>
        </is>
      </c>
      <c r="F176" t="inlineStr">
        <is>
          <t>excluded</t>
        </is>
      </c>
      <c r="G176" t="inlineStr">
        <is>
          <t>Bankruptcy dismissal / relief-from-stay docs</t>
        </is>
      </c>
      <c r="H176" t="n">
        <v>9899.049999999999</v>
      </c>
      <c r="I176" t="inlineStr">
        <is>
          <t>Bankruptcy history: 1 filing(s)</t>
        </is>
      </c>
    </row>
    <row r="177">
      <c r="A177" t="inlineStr">
        <is>
          <t>89JUL26</t>
        </is>
      </c>
      <c r="B177" t="inlineStr">
        <is>
          <t>MG-25-000543</t>
        </is>
      </c>
      <c r="C177" t="inlineStr">
        <is>
          <t>151 Skylark Drive</t>
        </is>
      </c>
      <c r="D177" t="inlineStr">
        <is>
          <t>Shaler</t>
        </is>
      </c>
      <c r="E177" t="inlineStr">
        <is>
          <t>Postponed to 1/4/2027</t>
        </is>
      </c>
      <c r="F177" t="inlineStr">
        <is>
          <t>excluded</t>
        </is>
      </c>
      <c r="G177" t="inlineStr">
        <is>
          <t>Postponed to 1/4/2027</t>
        </is>
      </c>
      <c r="H177" t="n">
        <v>2895.02</v>
      </c>
      <c r="I177" t="inlineStr"/>
    </row>
    <row r="178">
      <c r="A178" t="inlineStr">
        <is>
          <t>91JUL26</t>
        </is>
      </c>
      <c r="B178" t="inlineStr">
        <is>
          <t>GD-25-012922</t>
        </is>
      </c>
      <c r="C178" t="inlineStr">
        <is>
          <t>4120 Duckhorn Drive</t>
        </is>
      </c>
      <c r="D178" t="inlineStr">
        <is>
          <t>Moon</t>
        </is>
      </c>
      <c r="E178" t="inlineStr">
        <is>
          <t>Postponed to 1/4/2027</t>
        </is>
      </c>
      <c r="F178" t="inlineStr">
        <is>
          <t>excluded</t>
        </is>
      </c>
      <c r="G178" t="inlineStr">
        <is>
          <t>Postponed to 1/4/2027</t>
        </is>
      </c>
      <c r="H178" t="n">
        <v>19161.68</v>
      </c>
      <c r="I178" t="inlineStr"/>
    </row>
    <row r="179">
      <c r="A179" t="inlineStr">
        <is>
          <t>94JUL26</t>
        </is>
      </c>
      <c r="B179" t="inlineStr">
        <is>
          <t>GD-22-008427</t>
        </is>
      </c>
      <c r="C179" t="inlineStr">
        <is>
          <t>8909 Upland Ter</t>
        </is>
      </c>
      <c r="D179" t="inlineStr">
        <is>
          <t>Penn Hills</t>
        </is>
      </c>
      <c r="E179" t="inlineStr">
        <is>
          <t>Postponed to 12/7/2026</t>
        </is>
      </c>
      <c r="F179" t="inlineStr">
        <is>
          <t>excluded</t>
        </is>
      </c>
      <c r="G179" t="inlineStr">
        <is>
          <t>Postponed to 12/7/2026</t>
        </is>
      </c>
      <c r="H179" t="n">
        <v>27692.9</v>
      </c>
      <c r="I179" t="inlineStr"/>
    </row>
    <row r="180">
      <c r="A180" t="inlineStr">
        <is>
          <t>95JUL26</t>
        </is>
      </c>
      <c r="B180" t="inlineStr">
        <is>
          <t>MG-25-000636</t>
        </is>
      </c>
      <c r="C180" t="inlineStr">
        <is>
          <t>336 Woodhaven Drive</t>
        </is>
      </c>
      <c r="D180" t="inlineStr">
        <is>
          <t>Monroeville</t>
        </is>
      </c>
      <c r="E180" t="inlineStr">
        <is>
          <t>Active</t>
        </is>
      </c>
      <c r="F180" t="inlineStr">
        <is>
          <t>excluded</t>
        </is>
      </c>
      <c r="G180" t="inlineStr">
        <is>
          <t>Docs outstanding: Proof of service on defendant; Rule 3129.2 notice of sale / affidavit of service</t>
        </is>
      </c>
      <c r="H180" t="n">
        <v>5896.3</v>
      </c>
      <c r="I180" t="inlineStr"/>
    </row>
    <row r="181">
      <c r="A181" t="inlineStr">
        <is>
          <t>108JUL26</t>
        </is>
      </c>
      <c r="B181" t="inlineStr">
        <is>
          <t>MG-24-000116</t>
        </is>
      </c>
      <c r="C181" t="inlineStr">
        <is>
          <t>158 Gilmore Drive</t>
        </is>
      </c>
      <c r="D181" t="inlineStr">
        <is>
          <t>Wilkins</t>
        </is>
      </c>
      <c r="E181" t="inlineStr">
        <is>
          <t>Active</t>
        </is>
      </c>
      <c r="F181" t="inlineStr">
        <is>
          <t>excluded</t>
        </is>
      </c>
      <c r="G181" t="inlineStr">
        <is>
          <t>Docs outstanding: NEED PROOF OF CERT. AND REG MAIL FOR DEF; Rule 3129.2 notice of sale / affidavit of service; Rule 3129.3 notice of postponed sale date (for 11/2/26)</t>
        </is>
      </c>
      <c r="H181" t="n">
        <v>4345.08</v>
      </c>
      <c r="I181" t="inlineStr"/>
    </row>
    <row r="182">
      <c r="A182" t="inlineStr">
        <is>
          <t>113JUL26</t>
        </is>
      </c>
      <c r="B182" t="inlineStr">
        <is>
          <t>GD-24-009514</t>
        </is>
      </c>
      <c r="C182" t="inlineStr">
        <is>
          <t>1102 Gary Ave</t>
        </is>
      </c>
      <c r="D182" t="inlineStr">
        <is>
          <t>Clairton</t>
        </is>
      </c>
      <c r="E182" t="inlineStr">
        <is>
          <t>Active</t>
        </is>
      </c>
      <c r="F182" t="inlineStr">
        <is>
          <t>ok</t>
        </is>
      </c>
      <c r="G182" t="inlineStr">
        <is>
          <t>Sheriff OK box checked</t>
        </is>
      </c>
      <c r="H182" t="n">
        <v>7600</v>
      </c>
      <c r="I182" t="inlineStr">
        <is>
          <t>Free &amp; clear court order, min bid $7,600.00</t>
        </is>
      </c>
    </row>
    <row r="183">
      <c r="A183" t="inlineStr">
        <is>
          <t>115JUL26</t>
        </is>
      </c>
      <c r="B183" t="inlineStr">
        <is>
          <t>GD-19-011837</t>
        </is>
      </c>
      <c r="C183" t="inlineStr">
        <is>
          <t>404 Park Ave</t>
        </is>
      </c>
      <c r="D183" t="inlineStr">
        <is>
          <t>Elizabeth Twp</t>
        </is>
      </c>
      <c r="E183" t="inlineStr">
        <is>
          <t>Active</t>
        </is>
      </c>
      <c r="F183" t="inlineStr">
        <is>
          <t>ok</t>
        </is>
      </c>
      <c r="G183" t="inlineStr">
        <is>
          <t>Sheriff OK box checked</t>
        </is>
      </c>
      <c r="H183" t="n">
        <v>7800</v>
      </c>
      <c r="I183" t="inlineStr">
        <is>
          <t>Free &amp; clear court order, min bid $7,800.00
Prior winning bidder forfeited (property re-offered)</t>
        </is>
      </c>
    </row>
    <row r="184">
      <c r="A184" t="inlineStr">
        <is>
          <t>3AUG26</t>
        </is>
      </c>
      <c r="B184" t="inlineStr">
        <is>
          <t>GD-24-014344</t>
        </is>
      </c>
      <c r="C184" t="inlineStr">
        <is>
          <t>2429 Perry St</t>
        </is>
      </c>
      <c r="D184" t="inlineStr">
        <is>
          <t>Munhall</t>
        </is>
      </c>
      <c r="E184" t="inlineStr">
        <is>
          <t>Active</t>
        </is>
      </c>
      <c r="F184" t="inlineStr">
        <is>
          <t>almost</t>
        </is>
      </c>
      <c r="G184" t="inlineStr">
        <is>
          <t>Only Rule 3129.3 outstanding</t>
        </is>
      </c>
      <c r="H184" t="n">
        <v>6653.5</v>
      </c>
      <c r="I184" t="inlineStr"/>
    </row>
    <row r="185">
      <c r="A185" t="inlineStr">
        <is>
          <t>7AUG26</t>
        </is>
      </c>
      <c r="B185" t="inlineStr">
        <is>
          <t>GD-25-000701</t>
        </is>
      </c>
      <c r="C185" t="inlineStr">
        <is>
          <t>3122 Capitol Street</t>
        </is>
      </c>
      <c r="D185" t="inlineStr">
        <is>
          <t>White Oak</t>
        </is>
      </c>
      <c r="E185" t="inlineStr">
        <is>
          <t>Active</t>
        </is>
      </c>
      <c r="F185" t="inlineStr">
        <is>
          <t>ok</t>
        </is>
      </c>
      <c r="G185" t="inlineStr">
        <is>
          <t>Sheriff OK box checked</t>
        </is>
      </c>
      <c r="H185" t="n">
        <v>4022.46</v>
      </c>
      <c r="I185" t="inlineStr"/>
    </row>
    <row r="186">
      <c r="A186" t="inlineStr">
        <is>
          <t>8AUG26</t>
        </is>
      </c>
      <c r="B186" t="inlineStr">
        <is>
          <t>MG-25-000341</t>
        </is>
      </c>
      <c r="C186" t="inlineStr">
        <is>
          <t>2212 Swallow Hill Road</t>
        </is>
      </c>
      <c r="D186" t="inlineStr">
        <is>
          <t>Scott</t>
        </is>
      </c>
      <c r="E186" t="inlineStr">
        <is>
          <t>Active</t>
        </is>
      </c>
      <c r="F186" t="inlineStr">
        <is>
          <t>excluded</t>
        </is>
      </c>
      <c r="G186" t="inlineStr">
        <is>
          <t>Docs outstanding: Proof of service on defendants; Rule 3129.2 notice of sale / affidavit of service</t>
        </is>
      </c>
      <c r="H186" t="n">
        <v>15478.86</v>
      </c>
      <c r="I186" t="inlineStr"/>
    </row>
    <row r="187">
      <c r="A187" t="inlineStr">
        <is>
          <t>9AUG26</t>
        </is>
      </c>
      <c r="B187" t="inlineStr">
        <is>
          <t>MG-25-000548</t>
        </is>
      </c>
      <c r="C187" t="inlineStr">
        <is>
          <t>154 Glenfield Drive</t>
        </is>
      </c>
      <c r="D187" t="inlineStr">
        <is>
          <t>Penn Hills</t>
        </is>
      </c>
      <c r="E187" t="inlineStr">
        <is>
          <t>Active</t>
        </is>
      </c>
      <c r="F187" t="inlineStr">
        <is>
          <t>almost</t>
        </is>
      </c>
      <c r="G187" t="inlineStr">
        <is>
          <t>VERIFY – notes say OK TO SELL but OK box unchecked</t>
        </is>
      </c>
      <c r="H187" t="n">
        <v>2967.49</v>
      </c>
      <c r="I187" t="inlineStr"/>
    </row>
    <row r="188">
      <c r="A188" t="inlineStr">
        <is>
          <t>17AUG26</t>
        </is>
      </c>
      <c r="B188" t="inlineStr">
        <is>
          <t>GD-22-014003</t>
        </is>
      </c>
      <c r="C188" t="inlineStr">
        <is>
          <t>610 Vanadium Road</t>
        </is>
      </c>
      <c r="D188" t="inlineStr">
        <is>
          <t>Collier</t>
        </is>
      </c>
      <c r="E188" t="inlineStr">
        <is>
          <t>Postponed to 2/1/2027</t>
        </is>
      </c>
      <c r="F188" t="inlineStr">
        <is>
          <t>excluded</t>
        </is>
      </c>
      <c r="G188" t="inlineStr">
        <is>
          <t>Postponed to 2/1/2027</t>
        </is>
      </c>
      <c r="H188" t="n">
        <v>31591.63</v>
      </c>
      <c r="I188" t="inlineStr"/>
    </row>
    <row r="189">
      <c r="A189" t="inlineStr">
        <is>
          <t>18AUG26</t>
        </is>
      </c>
      <c r="B189" t="inlineStr">
        <is>
          <t>GD-23-012860</t>
        </is>
      </c>
      <c r="C189" t="inlineStr">
        <is>
          <t>631 National Dr</t>
        </is>
      </c>
      <c r="D189" t="inlineStr">
        <is>
          <t>Penn Hills</t>
        </is>
      </c>
      <c r="E189" t="inlineStr">
        <is>
          <t>Active</t>
        </is>
      </c>
      <c r="F189" t="inlineStr">
        <is>
          <t>ok</t>
        </is>
      </c>
      <c r="G189" t="inlineStr">
        <is>
          <t>Sheriff OK box checked</t>
        </is>
      </c>
      <c r="H189" t="n">
        <v>36873.68</v>
      </c>
      <c r="I189" t="inlineStr"/>
    </row>
    <row r="190">
      <c r="A190" t="inlineStr">
        <is>
          <t>19AUG26</t>
        </is>
      </c>
      <c r="B190" t="inlineStr">
        <is>
          <t>GD-17-001211</t>
        </is>
      </c>
      <c r="C190" t="inlineStr">
        <is>
          <t>507 Center St</t>
        </is>
      </c>
      <c r="D190" t="inlineStr">
        <is>
          <t>Scott</t>
        </is>
      </c>
      <c r="E190" t="inlineStr">
        <is>
          <t>Postponed to 1/4/2027</t>
        </is>
      </c>
      <c r="F190" t="inlineStr">
        <is>
          <t>excluded</t>
        </is>
      </c>
      <c r="G190" t="inlineStr">
        <is>
          <t>Postponed to 1/4/2027</t>
        </is>
      </c>
      <c r="H190" t="n">
        <v>39348.73</v>
      </c>
      <c r="I190" t="inlineStr"/>
    </row>
    <row r="191">
      <c r="A191" t="inlineStr">
        <is>
          <t>22AUG26</t>
        </is>
      </c>
      <c r="B191" t="inlineStr">
        <is>
          <t>MG-23-000615</t>
        </is>
      </c>
      <c r="C191" t="inlineStr">
        <is>
          <t>4964 Flamingo Drive</t>
        </is>
      </c>
      <c r="D191" t="inlineStr">
        <is>
          <t>Whitehall</t>
        </is>
      </c>
      <c r="E191" t="inlineStr">
        <is>
          <t>Active</t>
        </is>
      </c>
      <c r="F191" t="inlineStr">
        <is>
          <t>excluded</t>
        </is>
      </c>
      <c r="G191" t="inlineStr">
        <is>
          <t>Docs outstanding: Rule 3129.2 notice of sale / affidavit of service</t>
        </is>
      </c>
      <c r="H191" t="n">
        <v>15925.24</v>
      </c>
      <c r="I191" t="inlineStr"/>
    </row>
    <row r="192">
      <c r="A192" t="inlineStr">
        <is>
          <t>23AUG26</t>
        </is>
      </c>
      <c r="B192" t="inlineStr">
        <is>
          <t>MG-25-000962</t>
        </is>
      </c>
      <c r="C192" t="inlineStr">
        <is>
          <t>754 Linda Dr</t>
        </is>
      </c>
      <c r="D192" t="inlineStr">
        <is>
          <t>Pittsburgh</t>
        </is>
      </c>
      <c r="E192" t="inlineStr">
        <is>
          <t>Postponed to 12/7/2026</t>
        </is>
      </c>
      <c r="F192" t="inlineStr">
        <is>
          <t>excluded</t>
        </is>
      </c>
      <c r="G192" t="inlineStr">
        <is>
          <t>Postponed to 12/7/2026</t>
        </is>
      </c>
      <c r="H192" t="n">
        <v>1849.4</v>
      </c>
      <c r="I192" t="inlineStr"/>
    </row>
    <row r="193">
      <c r="A193" t="inlineStr">
        <is>
          <t>33AUG26</t>
        </is>
      </c>
      <c r="B193" t="inlineStr">
        <is>
          <t>MG-25-000948</t>
        </is>
      </c>
      <c r="C193" t="inlineStr">
        <is>
          <t>1347 Island Avenue</t>
        </is>
      </c>
      <c r="D193" t="inlineStr">
        <is>
          <t>Stowe</t>
        </is>
      </c>
      <c r="E193" t="inlineStr">
        <is>
          <t>Postponed to 1/4/2027</t>
        </is>
      </c>
      <c r="F193" t="inlineStr">
        <is>
          <t>excluded</t>
        </is>
      </c>
      <c r="G193" t="inlineStr">
        <is>
          <t>Postponed to 1/4/2027</t>
        </is>
      </c>
      <c r="H193" t="n">
        <v>4270.98</v>
      </c>
      <c r="I193" t="inlineStr"/>
    </row>
    <row r="194">
      <c r="A194" t="inlineStr">
        <is>
          <t>44AUG26</t>
        </is>
      </c>
      <c r="B194" t="inlineStr">
        <is>
          <t>GD-26-001114</t>
        </is>
      </c>
      <c r="C194" t="inlineStr">
        <is>
          <t>924 Jefferson Dr</t>
        </is>
      </c>
      <c r="D194" t="inlineStr">
        <is>
          <t>Clairton</t>
        </is>
      </c>
      <c r="E194" t="inlineStr">
        <is>
          <t>Active</t>
        </is>
      </c>
      <c r="F194" t="inlineStr">
        <is>
          <t>excluded</t>
        </is>
      </c>
      <c r="G194" t="inlineStr">
        <is>
          <t>Docs outstanding: Court order (O/C) approving postponements covering 1 sale date(s): 11/2/26</t>
        </is>
      </c>
      <c r="H194" t="n">
        <v>8125.74</v>
      </c>
      <c r="I194" t="inlineStr"/>
    </row>
    <row r="195">
      <c r="A195" t="inlineStr">
        <is>
          <t>50AUG26</t>
        </is>
      </c>
      <c r="B195" t="inlineStr">
        <is>
          <t>MG-26-000181</t>
        </is>
      </c>
      <c r="C195" t="inlineStr">
        <is>
          <t>1011 Grand Avenue</t>
        </is>
      </c>
      <c r="D195" t="inlineStr">
        <is>
          <t>Pittsburgh</t>
        </is>
      </c>
      <c r="E195" t="inlineStr">
        <is>
          <t>Postponed to 12/7/2026</t>
        </is>
      </c>
      <c r="F195" t="inlineStr">
        <is>
          <t>excluded</t>
        </is>
      </c>
      <c r="G195" t="inlineStr">
        <is>
          <t>Postponed to 12/7/2026</t>
        </is>
      </c>
      <c r="H195" t="n">
        <v>8852.98</v>
      </c>
      <c r="I195" t="inlineStr"/>
    </row>
    <row r="196">
      <c r="A196" t="inlineStr">
        <is>
          <t>51AUG26</t>
        </is>
      </c>
      <c r="B196" t="inlineStr">
        <is>
          <t>MG-25-000442</t>
        </is>
      </c>
      <c r="C196" t="inlineStr">
        <is>
          <t>100 Stoebener Lane</t>
        </is>
      </c>
      <c r="D196" t="inlineStr">
        <is>
          <t>Fawn</t>
        </is>
      </c>
      <c r="E196" t="inlineStr">
        <is>
          <t>Active</t>
        </is>
      </c>
      <c r="F196" t="inlineStr">
        <is>
          <t>excluded</t>
        </is>
      </c>
      <c r="G196" t="inlineStr">
        <is>
          <t>Docs outstanding: Complete Rule 3129.2 notice/affidavit – missing: tenants/occupants; Rule 3129.3 notice of postponed sale date (for 11/2/26)</t>
        </is>
      </c>
      <c r="H196" t="n">
        <v>2060.66</v>
      </c>
      <c r="I196" t="inlineStr"/>
    </row>
    <row r="197">
      <c r="A197" t="inlineStr">
        <is>
          <t>52AUG26</t>
        </is>
      </c>
      <c r="B197" t="inlineStr">
        <is>
          <t>GD-24-010383</t>
        </is>
      </c>
      <c r="C197" t="inlineStr">
        <is>
          <t>236 E 21st Ave</t>
        </is>
      </c>
      <c r="D197" t="inlineStr">
        <is>
          <t>Munhall</t>
        </is>
      </c>
      <c r="E197" t="inlineStr">
        <is>
          <t>Active</t>
        </is>
      </c>
      <c r="F197" t="inlineStr">
        <is>
          <t>excluded</t>
        </is>
      </c>
      <c r="G197" t="inlineStr">
        <is>
          <t>Docs outstanding: Rule 3129.3 notice of postponed sale date (for 11/2/26); Court order (O/C) approving postponements covering 1 sale date(s): 11/2/26</t>
        </is>
      </c>
      <c r="H197" t="n">
        <v>23843.28</v>
      </c>
      <c r="I197" t="inlineStr"/>
    </row>
    <row r="198">
      <c r="A198" t="inlineStr">
        <is>
          <t>53AUG26</t>
        </is>
      </c>
      <c r="B198" t="inlineStr">
        <is>
          <t>GD-23-006355</t>
        </is>
      </c>
      <c r="C198" t="inlineStr">
        <is>
          <t>574 Grove Rd</t>
        </is>
      </c>
      <c r="D198" t="inlineStr">
        <is>
          <t>Penn Hills</t>
        </is>
      </c>
      <c r="E198" t="inlineStr">
        <is>
          <t>Postponed to 2/1/2027</t>
        </is>
      </c>
      <c r="F198" t="inlineStr">
        <is>
          <t>excluded</t>
        </is>
      </c>
      <c r="G198" t="inlineStr">
        <is>
          <t>Postponed to 2/1/2027</t>
        </is>
      </c>
      <c r="H198" t="n">
        <v>26468.1</v>
      </c>
      <c r="I198" t="inlineStr"/>
    </row>
    <row r="199">
      <c r="A199" t="inlineStr">
        <is>
          <t>55AUG26</t>
        </is>
      </c>
      <c r="B199" t="inlineStr">
        <is>
          <t>GD-17-009395</t>
        </is>
      </c>
      <c r="C199" t="inlineStr">
        <is>
          <t>1800 Montier St</t>
        </is>
      </c>
      <c r="D199" t="inlineStr">
        <is>
          <t>Wilkinsburg</t>
        </is>
      </c>
      <c r="E199" t="inlineStr">
        <is>
          <t>Active</t>
        </is>
      </c>
      <c r="F199" t="inlineStr">
        <is>
          <t>almost</t>
        </is>
      </c>
      <c r="G199" t="inlineStr">
        <is>
          <t>Only Rule 3129.3 outstanding</t>
        </is>
      </c>
      <c r="H199" t="n">
        <v>163825.86</v>
      </c>
      <c r="I199" t="inlineStr"/>
    </row>
    <row r="200">
      <c r="A200" t="inlineStr">
        <is>
          <t>65AUG26</t>
        </is>
      </c>
      <c r="B200" t="inlineStr">
        <is>
          <t>GD-25-007351</t>
        </is>
      </c>
      <c r="C200" t="inlineStr">
        <is>
          <t>3109 State St</t>
        </is>
      </c>
      <c r="D200" t="inlineStr">
        <is>
          <t>White Oak</t>
        </is>
      </c>
      <c r="E200" t="inlineStr">
        <is>
          <t>Postponed to 1/4/2027</t>
        </is>
      </c>
      <c r="F200" t="inlineStr">
        <is>
          <t>excluded</t>
        </is>
      </c>
      <c r="G200" t="inlineStr">
        <is>
          <t>Postponed to 1/4/2027</t>
        </is>
      </c>
      <c r="H200" t="n">
        <v>13020.75</v>
      </c>
      <c r="I200" t="inlineStr"/>
    </row>
    <row r="201">
      <c r="A201" t="inlineStr">
        <is>
          <t>84AUG26</t>
        </is>
      </c>
      <c r="B201" t="inlineStr">
        <is>
          <t>GD-23-011285</t>
        </is>
      </c>
      <c r="C201" t="inlineStr">
        <is>
          <t>800 Valley St</t>
        </is>
      </c>
      <c r="D201" t="inlineStr">
        <is>
          <t>Oakmont</t>
        </is>
      </c>
      <c r="E201" t="inlineStr">
        <is>
          <t>Active</t>
        </is>
      </c>
      <c r="F201" t="inlineStr">
        <is>
          <t>ok</t>
        </is>
      </c>
      <c r="G201" t="inlineStr">
        <is>
          <t>Sheriff OK box checked</t>
        </is>
      </c>
      <c r="H201" t="n">
        <v>34708.2</v>
      </c>
      <c r="I201" t="inlineStr"/>
    </row>
    <row r="202">
      <c r="A202" t="inlineStr">
        <is>
          <t>87AUG26</t>
        </is>
      </c>
      <c r="B202" t="inlineStr">
        <is>
          <t>MG-25-001097</t>
        </is>
      </c>
      <c r="C202" t="inlineStr">
        <is>
          <t>408 Welsh Avenue</t>
        </is>
      </c>
      <c r="D202" t="inlineStr">
        <is>
          <t>Wilmerding</t>
        </is>
      </c>
      <c r="E202" t="inlineStr">
        <is>
          <t>Active</t>
        </is>
      </c>
      <c r="F202" t="inlineStr">
        <is>
          <t>ok</t>
        </is>
      </c>
      <c r="G202" t="inlineStr">
        <is>
          <t>Sheriff OK box checked</t>
        </is>
      </c>
      <c r="H202" t="n">
        <v>5070.58</v>
      </c>
      <c r="I202" t="inlineStr"/>
    </row>
    <row r="203">
      <c r="A203" t="inlineStr">
        <is>
          <t>91AUG26</t>
        </is>
      </c>
      <c r="B203" t="inlineStr">
        <is>
          <t>MG-25-000774</t>
        </is>
      </c>
      <c r="C203" t="inlineStr">
        <is>
          <t>626 Vilsack Road</t>
        </is>
      </c>
      <c r="D203" t="inlineStr">
        <is>
          <t>Shaler</t>
        </is>
      </c>
      <c r="E203" t="inlineStr">
        <is>
          <t>Stayed</t>
        </is>
      </c>
      <c r="F203" t="inlineStr">
        <is>
          <t>excluded</t>
        </is>
      </c>
      <c r="G203" t="inlineStr">
        <is>
          <t>Stayed</t>
        </is>
      </c>
      <c r="H203" t="n">
        <v>7004.54</v>
      </c>
      <c r="I203" t="inlineStr"/>
    </row>
    <row r="204">
      <c r="A204" t="inlineStr">
        <is>
          <t>98AUG26</t>
        </is>
      </c>
      <c r="B204" t="inlineStr">
        <is>
          <t>GD-26-000316</t>
        </is>
      </c>
      <c r="C204" t="inlineStr">
        <is>
          <t>2213 Woodstock Ave</t>
        </is>
      </c>
      <c r="D204" t="inlineStr">
        <is>
          <t>Swissvale</t>
        </is>
      </c>
      <c r="E204" t="inlineStr">
        <is>
          <t>Active</t>
        </is>
      </c>
      <c r="F204" t="inlineStr">
        <is>
          <t>ok</t>
        </is>
      </c>
      <c r="G204" t="inlineStr">
        <is>
          <t>Sheriff OK box checked</t>
        </is>
      </c>
      <c r="H204" t="n">
        <v>2248.85</v>
      </c>
      <c r="I204" t="inlineStr"/>
    </row>
    <row r="205">
      <c r="A205" t="inlineStr">
        <is>
          <t>99AUG26</t>
        </is>
      </c>
      <c r="B205" t="inlineStr">
        <is>
          <t>MG-25-000591</t>
        </is>
      </c>
      <c r="C205" t="inlineStr">
        <is>
          <t>318 First Street</t>
        </is>
      </c>
      <c r="D205" t="inlineStr">
        <is>
          <t>West Elizabeth</t>
        </is>
      </c>
      <c r="E205" t="inlineStr">
        <is>
          <t>Postponed to 1/4/2027</t>
        </is>
      </c>
      <c r="F205" t="inlineStr">
        <is>
          <t>excluded</t>
        </is>
      </c>
      <c r="G205" t="inlineStr">
        <is>
          <t>Postponed to 1/4/2027</t>
        </is>
      </c>
      <c r="H205" t="n">
        <v>2331.98</v>
      </c>
      <c r="I205" t="inlineStr"/>
    </row>
    <row r="206">
      <c r="A206" t="inlineStr">
        <is>
          <t>102AUG26</t>
        </is>
      </c>
      <c r="B206" t="inlineStr">
        <is>
          <t>GD-26-000899</t>
        </is>
      </c>
      <c r="C206" t="inlineStr">
        <is>
          <t>3629 Ada St</t>
        </is>
      </c>
      <c r="D206" t="inlineStr">
        <is>
          <t>Munhall</t>
        </is>
      </c>
      <c r="E206" t="inlineStr">
        <is>
          <t>Active</t>
        </is>
      </c>
      <c r="F206" t="inlineStr">
        <is>
          <t>excluded</t>
        </is>
      </c>
      <c r="G206" t="inlineStr">
        <is>
          <t>Docs outstanding: Court order (O/C) approving postponements covering 1 sale date(s): 11/2/26</t>
        </is>
      </c>
      <c r="H206" t="n">
        <v>20276</v>
      </c>
      <c r="I206" t="inlineStr"/>
    </row>
    <row r="207">
      <c r="A207" t="inlineStr">
        <is>
          <t>104AUG26</t>
        </is>
      </c>
      <c r="B207" t="inlineStr">
        <is>
          <t>MG-24-000780</t>
        </is>
      </c>
      <c r="C207" t="inlineStr">
        <is>
          <t>90 Highland Ave</t>
        </is>
      </c>
      <c r="D207" t="inlineStr">
        <is>
          <t>Stowe</t>
        </is>
      </c>
      <c r="E207" t="inlineStr">
        <is>
          <t>Active</t>
        </is>
      </c>
      <c r="F207" t="inlineStr">
        <is>
          <t>almost</t>
        </is>
      </c>
      <c r="G207" t="inlineStr">
        <is>
          <t>Only Rule 3129.3 outstanding</t>
        </is>
      </c>
      <c r="H207" t="n">
        <v>10813.64</v>
      </c>
      <c r="I207" t="inlineStr"/>
    </row>
    <row r="208">
      <c r="A208" t="inlineStr">
        <is>
          <t>1SEP26</t>
        </is>
      </c>
      <c r="B208" t="inlineStr">
        <is>
          <t>GD-22-008550</t>
        </is>
      </c>
      <c r="C208" t="inlineStr">
        <is>
          <t>221 Walnut St</t>
        </is>
      </c>
      <c r="D208" t="inlineStr">
        <is>
          <t>Blawnox</t>
        </is>
      </c>
      <c r="E208" t="inlineStr">
        <is>
          <t>Active</t>
        </is>
      </c>
      <c r="F208" t="inlineStr">
        <is>
          <t>almost</t>
        </is>
      </c>
      <c r="G208" t="inlineStr">
        <is>
          <t>Only Rule 3129.3 outstanding</t>
        </is>
      </c>
      <c r="H208" t="n">
        <v>36807.63</v>
      </c>
      <c r="I208" t="inlineStr"/>
    </row>
    <row r="209">
      <c r="A209" t="inlineStr">
        <is>
          <t>3SEP26</t>
        </is>
      </c>
      <c r="B209" t="inlineStr">
        <is>
          <t>GD-24-004175</t>
        </is>
      </c>
      <c r="C209" t="inlineStr">
        <is>
          <t>14 Greenwich Court</t>
        </is>
      </c>
      <c r="D209" t="inlineStr">
        <is>
          <t>Oakmont</t>
        </is>
      </c>
      <c r="E209" t="inlineStr">
        <is>
          <t>Active</t>
        </is>
      </c>
      <c r="F209" t="inlineStr">
        <is>
          <t>almost</t>
        </is>
      </c>
      <c r="G209" t="inlineStr">
        <is>
          <t>Only Rule 3129.3 outstanding</t>
        </is>
      </c>
      <c r="H209" t="n">
        <v>20647.81</v>
      </c>
      <c r="I209" t="inlineStr"/>
    </row>
    <row r="210">
      <c r="A210" t="inlineStr">
        <is>
          <t>4SEP26</t>
        </is>
      </c>
      <c r="B210" t="inlineStr">
        <is>
          <t>GD-24-011990</t>
        </is>
      </c>
      <c r="C210" t="inlineStr">
        <is>
          <t>1615 Sumac St</t>
        </is>
      </c>
      <c r="D210" t="inlineStr">
        <is>
          <t>McKeesport</t>
        </is>
      </c>
      <c r="E210" t="inlineStr">
        <is>
          <t>Active</t>
        </is>
      </c>
      <c r="F210" t="inlineStr">
        <is>
          <t>almost</t>
        </is>
      </c>
      <c r="G210" t="inlineStr">
        <is>
          <t>Only Rule 3129.3 outstanding</t>
        </is>
      </c>
      <c r="H210" t="n">
        <v>44590.13</v>
      </c>
      <c r="I210" t="inlineStr"/>
    </row>
    <row r="211">
      <c r="A211" t="inlineStr">
        <is>
          <t>8SEP26</t>
        </is>
      </c>
      <c r="B211" t="inlineStr">
        <is>
          <t>MG-22-000655</t>
        </is>
      </c>
      <c r="C211" t="inlineStr">
        <is>
          <t>5403 Guarino Rd</t>
        </is>
      </c>
      <c r="D211" t="inlineStr">
        <is>
          <t>Pittsburgh</t>
        </is>
      </c>
      <c r="E211" t="inlineStr">
        <is>
          <t>Active</t>
        </is>
      </c>
      <c r="F211" t="inlineStr">
        <is>
          <t>excluded</t>
        </is>
      </c>
      <c r="G211" t="inlineStr">
        <is>
          <t>Docs outstanding: Proof of service on defendants; Rule 3129.2 notice of sale / affidavit of service</t>
        </is>
      </c>
      <c r="H211" t="n">
        <v>1738.34</v>
      </c>
      <c r="I211" t="inlineStr"/>
    </row>
    <row r="212">
      <c r="A212" t="inlineStr">
        <is>
          <t>9SEP26</t>
        </is>
      </c>
      <c r="B212" t="inlineStr">
        <is>
          <t>MG-26-000258</t>
        </is>
      </c>
      <c r="C212" t="inlineStr">
        <is>
          <t>929 Sedalia Avenue</t>
        </is>
      </c>
      <c r="D212" t="inlineStr">
        <is>
          <t>Avalon</t>
        </is>
      </c>
      <c r="E212" t="inlineStr">
        <is>
          <t>Active</t>
        </is>
      </c>
      <c r="F212" t="inlineStr">
        <is>
          <t>ok</t>
        </is>
      </c>
      <c r="G212" t="inlineStr">
        <is>
          <t>Sheriff OK box checked</t>
        </is>
      </c>
      <c r="H212" t="n">
        <v>2063.72</v>
      </c>
      <c r="I212" t="inlineStr"/>
    </row>
    <row r="213">
      <c r="A213" t="inlineStr">
        <is>
          <t>11SEP26</t>
        </is>
      </c>
      <c r="B213" t="inlineStr">
        <is>
          <t>GD-26-003777</t>
        </is>
      </c>
      <c r="C213" t="inlineStr">
        <is>
          <t>401 Finley Road</t>
        </is>
      </c>
      <c r="D213" t="inlineStr">
        <is>
          <t>Plum</t>
        </is>
      </c>
      <c r="E213" t="inlineStr">
        <is>
          <t>Postponed to 1/4/2027</t>
        </is>
      </c>
      <c r="F213" t="inlineStr">
        <is>
          <t>excluded</t>
        </is>
      </c>
      <c r="G213" t="inlineStr">
        <is>
          <t>Postponed to 1/4/2027</t>
        </is>
      </c>
      <c r="H213" t="n">
        <v>6581.42</v>
      </c>
      <c r="I213" t="inlineStr">
        <is>
          <t>Bankruptcy history: 1 filing(s)</t>
        </is>
      </c>
    </row>
    <row r="214">
      <c r="A214" t="inlineStr">
        <is>
          <t>18SEP26</t>
        </is>
      </c>
      <c r="B214" t="inlineStr">
        <is>
          <t>MG-26-000124</t>
        </is>
      </c>
      <c r="C214" t="inlineStr">
        <is>
          <t>1468 Elizabeth Blvd</t>
        </is>
      </c>
      <c r="D214" t="inlineStr">
        <is>
          <t>Wilkinsburg</t>
        </is>
      </c>
      <c r="E214" t="inlineStr">
        <is>
          <t>Postponed to 12/7/2026</t>
        </is>
      </c>
      <c r="F214" t="inlineStr">
        <is>
          <t>excluded</t>
        </is>
      </c>
      <c r="G214" t="inlineStr">
        <is>
          <t>Postponed to 12/7/2026</t>
        </is>
      </c>
      <c r="H214" t="n">
        <v>2681.28</v>
      </c>
      <c r="I214" t="inlineStr"/>
    </row>
    <row r="215">
      <c r="A215" t="inlineStr">
        <is>
          <t>21SEP26</t>
        </is>
      </c>
      <c r="B215" t="inlineStr">
        <is>
          <t>GD-26-002056</t>
        </is>
      </c>
      <c r="C215" t="inlineStr">
        <is>
          <t>3101 Orchard St</t>
        </is>
      </c>
      <c r="D215" t="inlineStr">
        <is>
          <t>McKeesport</t>
        </is>
      </c>
      <c r="E215" t="inlineStr">
        <is>
          <t>Postponed to 12/7/2026</t>
        </is>
      </c>
      <c r="F215" t="inlineStr">
        <is>
          <t>excluded</t>
        </is>
      </c>
      <c r="G215" t="inlineStr">
        <is>
          <t>Postponed to 12/7/2026</t>
        </is>
      </c>
      <c r="H215" t="n">
        <v>4884.29</v>
      </c>
      <c r="I215" t="inlineStr"/>
    </row>
    <row r="216">
      <c r="A216" t="inlineStr">
        <is>
          <t>22SEP26</t>
        </is>
      </c>
      <c r="B216" t="inlineStr">
        <is>
          <t>GD-26-000602</t>
        </is>
      </c>
      <c r="C216" t="inlineStr">
        <is>
          <t>700 E 17th Ave</t>
        </is>
      </c>
      <c r="D216" t="inlineStr">
        <is>
          <t>Munhall</t>
        </is>
      </c>
      <c r="E216" t="inlineStr">
        <is>
          <t>Active</t>
        </is>
      </c>
      <c r="F216" t="inlineStr">
        <is>
          <t>ok</t>
        </is>
      </c>
      <c r="G216" t="inlineStr">
        <is>
          <t>Sheriff OK box checked</t>
        </is>
      </c>
      <c r="H216" t="n">
        <v>5687.19</v>
      </c>
      <c r="I216" t="inlineStr"/>
    </row>
    <row r="217">
      <c r="A217" t="inlineStr">
        <is>
          <t>23SEP26</t>
        </is>
      </c>
      <c r="B217" t="inlineStr">
        <is>
          <t>GD-23-013159</t>
        </is>
      </c>
      <c r="C217" t="inlineStr">
        <is>
          <t>417 29th St</t>
        </is>
      </c>
      <c r="D217" t="inlineStr">
        <is>
          <t>McKeesport</t>
        </is>
      </c>
      <c r="E217" t="inlineStr">
        <is>
          <t>Active</t>
        </is>
      </c>
      <c r="F217" t="inlineStr">
        <is>
          <t>excluded</t>
        </is>
      </c>
      <c r="G217" t="inlineStr">
        <is>
          <t>Docs outstanding: Proof of service on defendant; Rule 3129.3 notice of postponed sale date (for 11/2/26)</t>
        </is>
      </c>
      <c r="H217" t="n">
        <v>34672.96</v>
      </c>
      <c r="I217" t="inlineStr"/>
    </row>
    <row r="218">
      <c r="A218" t="inlineStr">
        <is>
          <t>24SEP26</t>
        </is>
      </c>
      <c r="B218" t="inlineStr">
        <is>
          <t>GD-23-013326</t>
        </is>
      </c>
      <c r="C218" t="inlineStr">
        <is>
          <t>1106 Craig St</t>
        </is>
      </c>
      <c r="D218" t="inlineStr">
        <is>
          <t>McKeesport</t>
        </is>
      </c>
      <c r="E218" t="inlineStr">
        <is>
          <t>Stayed</t>
        </is>
      </c>
      <c r="F218" t="inlineStr">
        <is>
          <t>excluded</t>
        </is>
      </c>
      <c r="G218" t="inlineStr">
        <is>
          <t>Stayed</t>
        </is>
      </c>
      <c r="H218" t="n">
        <v>16580.68</v>
      </c>
      <c r="I218" t="inlineStr"/>
    </row>
    <row r="219">
      <c r="A219" t="inlineStr">
        <is>
          <t>26SEP26</t>
        </is>
      </c>
      <c r="B219" t="inlineStr">
        <is>
          <t>MG-26-000185</t>
        </is>
      </c>
      <c r="C219" t="inlineStr">
        <is>
          <t>108 Tintsman Ave</t>
        </is>
      </c>
      <c r="D219" t="inlineStr">
        <is>
          <t>North Versailles</t>
        </is>
      </c>
      <c r="E219" t="inlineStr">
        <is>
          <t>Active</t>
        </is>
      </c>
      <c r="F219" t="inlineStr">
        <is>
          <t>ok</t>
        </is>
      </c>
      <c r="G219" t="inlineStr">
        <is>
          <t>Sheriff OK box checked</t>
        </is>
      </c>
      <c r="H219" t="n">
        <v>11852.24</v>
      </c>
      <c r="I219" t="inlineStr">
        <is>
          <t>Prior winning bidder forfeited (property re-offered)</t>
        </is>
      </c>
    </row>
    <row r="220">
      <c r="A220" t="inlineStr">
        <is>
          <t>27SEP26</t>
        </is>
      </c>
      <c r="B220" t="inlineStr">
        <is>
          <t>MG-24-000984</t>
        </is>
      </c>
      <c r="C220" t="inlineStr">
        <is>
          <t>227 Meadowfield Lane ; Chelsea Dr</t>
        </is>
      </c>
      <c r="D220" t="inlineStr">
        <is>
          <t>Jefferson Hills</t>
        </is>
      </c>
      <c r="E220" t="inlineStr">
        <is>
          <t>Stayed</t>
        </is>
      </c>
      <c r="F220" t="inlineStr">
        <is>
          <t>excluded</t>
        </is>
      </c>
      <c r="G220" t="inlineStr">
        <is>
          <t>Stayed</t>
        </is>
      </c>
      <c r="H220" t="n">
        <v>16571.57</v>
      </c>
      <c r="I220" t="inlineStr"/>
    </row>
    <row r="221">
      <c r="A221" t="inlineStr">
        <is>
          <t>32SEP26</t>
        </is>
      </c>
      <c r="B221" t="inlineStr">
        <is>
          <t>MG-25-001042</t>
        </is>
      </c>
      <c r="C221" t="inlineStr">
        <is>
          <t>433 Cottage Lane</t>
        </is>
      </c>
      <c r="D221" t="inlineStr">
        <is>
          <t>Monroeville</t>
        </is>
      </c>
      <c r="E221" t="inlineStr">
        <is>
          <t>Active</t>
        </is>
      </c>
      <c r="F221" t="inlineStr">
        <is>
          <t>excluded</t>
        </is>
      </c>
      <c r="G221" t="inlineStr">
        <is>
          <t>Docs outstanding: Proof of service on defendants; Rule 3129.2 notice of sale / affidavit of service</t>
        </is>
      </c>
      <c r="H221" t="n">
        <v>3406.55</v>
      </c>
      <c r="I221" t="inlineStr"/>
    </row>
    <row r="222">
      <c r="A222" t="inlineStr">
        <is>
          <t>33SEP26</t>
        </is>
      </c>
      <c r="B222" t="inlineStr">
        <is>
          <t>MG-24-000027</t>
        </is>
      </c>
      <c r="C222" t="inlineStr">
        <is>
          <t>1605 Powers Run Road</t>
        </is>
      </c>
      <c r="D222" t="inlineStr">
        <is>
          <t>O'Hara</t>
        </is>
      </c>
      <c r="E222" t="inlineStr">
        <is>
          <t>Active</t>
        </is>
      </c>
      <c r="F222" t="inlineStr">
        <is>
          <t>excluded</t>
        </is>
      </c>
      <c r="G222" t="inlineStr">
        <is>
          <t>Bankruptcy dismissal / relief-from-stay docs (BK 26-22485)</t>
        </is>
      </c>
      <c r="H222" t="n">
        <v>2163.74</v>
      </c>
      <c r="I222" t="inlineStr">
        <is>
          <t>Bankruptcy history: 1 filing(s)</t>
        </is>
      </c>
    </row>
    <row r="223">
      <c r="A223" t="inlineStr">
        <is>
          <t>34SEP26</t>
        </is>
      </c>
      <c r="B223" t="inlineStr">
        <is>
          <t>MG-24-000023</t>
        </is>
      </c>
      <c r="C223" t="inlineStr">
        <is>
          <t>160 Lincoln Hall Road</t>
        </is>
      </c>
      <c r="D223" t="inlineStr">
        <is>
          <t>Elizabeth Twp</t>
        </is>
      </c>
      <c r="E223" t="inlineStr">
        <is>
          <t>Active</t>
        </is>
      </c>
      <c r="F223" t="inlineStr">
        <is>
          <t>ok</t>
        </is>
      </c>
      <c r="G223" t="inlineStr">
        <is>
          <t>Sheriff OK box checked</t>
        </is>
      </c>
      <c r="H223" t="n">
        <v>4210.85</v>
      </c>
      <c r="I223" t="inlineStr"/>
    </row>
    <row r="224">
      <c r="A224" t="inlineStr">
        <is>
          <t>38SEP26</t>
        </is>
      </c>
      <c r="B224" t="inlineStr">
        <is>
          <t>MG-24-000781</t>
        </is>
      </c>
      <c r="C224" t="inlineStr">
        <is>
          <t>2578 Royal View Drive</t>
        </is>
      </c>
      <c r="D224" t="inlineStr">
        <is>
          <t>Hampton</t>
        </is>
      </c>
      <c r="E224" t="inlineStr">
        <is>
          <t>Postponed to 12/7/2026</t>
        </is>
      </c>
      <c r="F224" t="inlineStr">
        <is>
          <t>excluded</t>
        </is>
      </c>
      <c r="G224" t="inlineStr">
        <is>
          <t>Postponed to 12/7/2026</t>
        </is>
      </c>
      <c r="H224" t="n">
        <v>34423.71</v>
      </c>
      <c r="I224" t="inlineStr"/>
    </row>
    <row r="225">
      <c r="A225" t="inlineStr">
        <is>
          <t>43SEP26</t>
        </is>
      </c>
      <c r="B225" t="inlineStr">
        <is>
          <t>MG-25-000815</t>
        </is>
      </c>
      <c r="C225" t="inlineStr">
        <is>
          <t>520 Springdale Drive</t>
        </is>
      </c>
      <c r="D225" t="inlineStr">
        <is>
          <t>Penn Hills</t>
        </is>
      </c>
      <c r="E225" t="inlineStr">
        <is>
          <t>Active</t>
        </is>
      </c>
      <c r="F225" t="inlineStr">
        <is>
          <t>excluded</t>
        </is>
      </c>
      <c r="G225" t="inlineStr">
        <is>
          <t>Docs outstanding: Proof of service on defendant; Rule 3129.2 notice of sale / affidavit of service</t>
        </is>
      </c>
      <c r="H225" t="n">
        <v>3266.63</v>
      </c>
      <c r="I225" t="inlineStr"/>
    </row>
    <row r="226">
      <c r="A226" t="inlineStr">
        <is>
          <t>44SEP26</t>
        </is>
      </c>
      <c r="B226" t="inlineStr">
        <is>
          <t>MG-26-000117</t>
        </is>
      </c>
      <c r="C226" t="inlineStr">
        <is>
          <t>1821-1823 State Street</t>
        </is>
      </c>
      <c r="D226" t="inlineStr">
        <is>
          <t>Jefferson Hills</t>
        </is>
      </c>
      <c r="E226" t="inlineStr">
        <is>
          <t>Postponed to 1/4/2027</t>
        </is>
      </c>
      <c r="F226" t="inlineStr">
        <is>
          <t>excluded</t>
        </is>
      </c>
      <c r="G226" t="inlineStr">
        <is>
          <t>Postponed to 1/4/2027</t>
        </is>
      </c>
      <c r="H226" t="n">
        <v>18836.09</v>
      </c>
      <c r="I226" t="inlineStr"/>
    </row>
    <row r="227">
      <c r="A227" t="inlineStr">
        <is>
          <t>47SEP26</t>
        </is>
      </c>
      <c r="B227" t="inlineStr">
        <is>
          <t>GD-22-012990</t>
        </is>
      </c>
      <c r="C227" t="inlineStr">
        <is>
          <t>618 East 9th Avenue</t>
        </is>
      </c>
      <c r="D227" t="inlineStr">
        <is>
          <t>Munhall</t>
        </is>
      </c>
      <c r="E227" t="inlineStr">
        <is>
          <t>Active</t>
        </is>
      </c>
      <c r="F227" t="inlineStr">
        <is>
          <t>almost</t>
        </is>
      </c>
      <c r="G227" t="inlineStr">
        <is>
          <t>Only Rule 3129.3 outstanding</t>
        </is>
      </c>
      <c r="H227" t="n">
        <v>8596.799999999999</v>
      </c>
      <c r="I227" t="inlineStr"/>
    </row>
    <row r="228">
      <c r="A228" t="inlineStr">
        <is>
          <t>48SEP26</t>
        </is>
      </c>
      <c r="B228" t="inlineStr">
        <is>
          <t>MG-25-000959</t>
        </is>
      </c>
      <c r="C228" t="inlineStr">
        <is>
          <t>274 Spring Run Road</t>
        </is>
      </c>
      <c r="D228" t="inlineStr">
        <is>
          <t>Crescent</t>
        </is>
      </c>
      <c r="E228" t="inlineStr">
        <is>
          <t>Active</t>
        </is>
      </c>
      <c r="F228" t="inlineStr">
        <is>
          <t>excluded</t>
        </is>
      </c>
      <c r="G228" t="inlineStr">
        <is>
          <t>Docs outstanding: Proof of service on defendant; Rule 3129.2 notice of sale / affidavit of service</t>
        </is>
      </c>
      <c r="H228" t="n">
        <v>2336.71</v>
      </c>
      <c r="I228" t="inlineStr"/>
    </row>
    <row r="229">
      <c r="A229" t="inlineStr">
        <is>
          <t>56SEP26</t>
        </is>
      </c>
      <c r="B229" t="inlineStr">
        <is>
          <t>GD-26-002653</t>
        </is>
      </c>
      <c r="C229" t="inlineStr">
        <is>
          <t>4022 Oswald Street</t>
        </is>
      </c>
      <c r="D229" t="inlineStr">
        <is>
          <t>Pittsburgh</t>
        </is>
      </c>
      <c r="E229" t="inlineStr">
        <is>
          <t>Active</t>
        </is>
      </c>
      <c r="F229" t="inlineStr">
        <is>
          <t>ok</t>
        </is>
      </c>
      <c r="G229" t="inlineStr">
        <is>
          <t>Sheriff OK box checked</t>
        </is>
      </c>
      <c r="H229" t="n">
        <v>1961.72</v>
      </c>
      <c r="I229" t="inlineStr"/>
    </row>
    <row r="230">
      <c r="A230" t="inlineStr">
        <is>
          <t>57SEP26</t>
        </is>
      </c>
      <c r="B230" t="inlineStr">
        <is>
          <t>GD-25-013585</t>
        </is>
      </c>
      <c r="C230" t="inlineStr">
        <is>
          <t>1234 High Street</t>
        </is>
      </c>
      <c r="D230" t="inlineStr">
        <is>
          <t>Pittsburgh</t>
        </is>
      </c>
      <c r="E230" t="inlineStr">
        <is>
          <t>Active</t>
        </is>
      </c>
      <c r="F230" t="inlineStr">
        <is>
          <t>almost</t>
        </is>
      </c>
      <c r="G230" t="inlineStr">
        <is>
          <t>Only Rule 3129.3 outstanding</t>
        </is>
      </c>
      <c r="H230" t="n">
        <v>3826.83</v>
      </c>
      <c r="I230" t="inlineStr"/>
    </row>
    <row r="231">
      <c r="A231" t="inlineStr">
        <is>
          <t>58SEP26</t>
        </is>
      </c>
      <c r="B231" t="inlineStr">
        <is>
          <t>MG-25-000702</t>
        </is>
      </c>
      <c r="C231" t="inlineStr">
        <is>
          <t>250 Ridgeview Dr</t>
        </is>
      </c>
      <c r="D231" t="inlineStr">
        <is>
          <t>McCandless</t>
        </is>
      </c>
      <c r="E231" t="inlineStr">
        <is>
          <t>(Waived) to 12/31/2099</t>
        </is>
      </c>
      <c r="F231" t="inlineStr">
        <is>
          <t>excluded</t>
        </is>
      </c>
      <c r="G231" t="inlineStr">
        <is>
          <t>(Waived) to 12/31/2099</t>
        </is>
      </c>
      <c r="H231" t="n">
        <v>6774.09</v>
      </c>
      <c r="I231" t="inlineStr">
        <is>
          <t>Save Your Home program involvement</t>
        </is>
      </c>
    </row>
    <row r="232">
      <c r="A232" t="inlineStr">
        <is>
          <t>59SEP26</t>
        </is>
      </c>
      <c r="B232" t="inlineStr">
        <is>
          <t>GD-26-003383</t>
        </is>
      </c>
      <c r="C232" t="inlineStr">
        <is>
          <t>1106 W Sutter Rd</t>
        </is>
      </c>
      <c r="D232" t="inlineStr">
        <is>
          <t>Ross</t>
        </is>
      </c>
      <c r="E232" t="inlineStr">
        <is>
          <t>Active</t>
        </is>
      </c>
      <c r="F232" t="inlineStr">
        <is>
          <t>excluded</t>
        </is>
      </c>
      <c r="G232" t="inlineStr">
        <is>
          <t>Docs outstanding: Proof of service on defendant; Rule 3129.2 notice of sale / affidavit of service</t>
        </is>
      </c>
      <c r="H232" t="n">
        <v>11262.41</v>
      </c>
      <c r="I232" t="inlineStr"/>
    </row>
    <row r="233">
      <c r="A233" t="inlineStr">
        <is>
          <t>61SEP26</t>
        </is>
      </c>
      <c r="B233" t="inlineStr">
        <is>
          <t>MG-17-000476</t>
        </is>
      </c>
      <c r="C233" t="inlineStr">
        <is>
          <t>8584 Peebles Road</t>
        </is>
      </c>
      <c r="D233" t="inlineStr">
        <is>
          <t>McCandless</t>
        </is>
      </c>
      <c r="E233" t="inlineStr">
        <is>
          <t>Active</t>
        </is>
      </c>
      <c r="F233" t="inlineStr">
        <is>
          <t>excluded</t>
        </is>
      </c>
      <c r="G233" t="inlineStr">
        <is>
          <t>Docs outstanding: Rule 3129.2 notice of sale / affidavit of service; Proof of service on defendant</t>
        </is>
      </c>
      <c r="H233" t="n">
        <v>33090.9</v>
      </c>
      <c r="I233" t="inlineStr"/>
    </row>
    <row r="234">
      <c r="A234" t="inlineStr">
        <is>
          <t>66SEP26</t>
        </is>
      </c>
      <c r="B234" t="inlineStr">
        <is>
          <t>MG-26-000148</t>
        </is>
      </c>
      <c r="C234" t="inlineStr">
        <is>
          <t>2716 Burham Street</t>
        </is>
      </c>
      <c r="D234" t="inlineStr">
        <is>
          <t>Pittsburgh</t>
        </is>
      </c>
      <c r="E234" t="inlineStr">
        <is>
          <t>Active</t>
        </is>
      </c>
      <c r="F234" t="inlineStr">
        <is>
          <t>ok</t>
        </is>
      </c>
      <c r="G234" t="inlineStr">
        <is>
          <t>Sheriff OK box checked</t>
        </is>
      </c>
      <c r="H234" t="n">
        <v>14501.07</v>
      </c>
      <c r="I234" t="inlineStr"/>
    </row>
    <row r="235">
      <c r="A235" t="inlineStr">
        <is>
          <t>67SEP26</t>
        </is>
      </c>
      <c r="B235" t="inlineStr">
        <is>
          <t>MG-26-000253</t>
        </is>
      </c>
      <c r="C235" t="inlineStr">
        <is>
          <t>713 Gearing Ave</t>
        </is>
      </c>
      <c r="D235" t="inlineStr">
        <is>
          <t>Pittsburgh</t>
        </is>
      </c>
      <c r="E235" t="inlineStr">
        <is>
          <t>Active</t>
        </is>
      </c>
      <c r="F235" t="inlineStr">
        <is>
          <t>ok</t>
        </is>
      </c>
      <c r="G235" t="inlineStr">
        <is>
          <t>Sheriff OK box checked</t>
        </is>
      </c>
      <c r="H235" t="n">
        <v>2016.48</v>
      </c>
      <c r="I235" t="inlineStr"/>
    </row>
    <row r="236">
      <c r="A236" t="inlineStr">
        <is>
          <t>78SEP26</t>
        </is>
      </c>
      <c r="B236" t="inlineStr">
        <is>
          <t>MG-25-000994</t>
        </is>
      </c>
      <c r="C236" t="inlineStr">
        <is>
          <t>504 Cottingham Drive</t>
        </is>
      </c>
      <c r="D236" t="inlineStr">
        <is>
          <t>McCandless</t>
        </is>
      </c>
      <c r="E236" t="inlineStr">
        <is>
          <t>Postponed to 3/1/2027</t>
        </is>
      </c>
      <c r="F236" t="inlineStr">
        <is>
          <t>excluded</t>
        </is>
      </c>
      <c r="G236" t="inlineStr">
        <is>
          <t>Postponed to 3/1/2027</t>
        </is>
      </c>
      <c r="H236" t="n">
        <v>4585.82</v>
      </c>
      <c r="I236" t="inlineStr">
        <is>
          <t>Bankruptcy history: 1 filing(s)</t>
        </is>
      </c>
    </row>
    <row r="237">
      <c r="A237" t="inlineStr">
        <is>
          <t>84SEP26</t>
        </is>
      </c>
      <c r="B237" t="inlineStr">
        <is>
          <t>GD-23-004176</t>
        </is>
      </c>
      <c r="C237" t="inlineStr">
        <is>
          <t>219 Chambers Street</t>
        </is>
      </c>
      <c r="D237" t="inlineStr">
        <is>
          <t>Clairton</t>
        </is>
      </c>
      <c r="E237" t="inlineStr">
        <is>
          <t>Active</t>
        </is>
      </c>
      <c r="F237" t="inlineStr">
        <is>
          <t>excluded</t>
        </is>
      </c>
      <c r="G237" t="inlineStr">
        <is>
          <t>Docs outstanding: Proof of service on defendants</t>
        </is>
      </c>
      <c r="H237" t="n">
        <v>28506.65</v>
      </c>
      <c r="I237" t="inlineStr"/>
    </row>
    <row r="238">
      <c r="A238" t="inlineStr">
        <is>
          <t>86SEP26</t>
        </is>
      </c>
      <c r="B238" t="inlineStr">
        <is>
          <t>MG-25-000402</t>
        </is>
      </c>
      <c r="C238" t="inlineStr">
        <is>
          <t>963 Harper Rd</t>
        </is>
      </c>
      <c r="D238" t="inlineStr">
        <is>
          <t>Crescent</t>
        </is>
      </c>
      <c r="E238" t="inlineStr">
        <is>
          <t>Active</t>
        </is>
      </c>
      <c r="F238" t="inlineStr">
        <is>
          <t>ok</t>
        </is>
      </c>
      <c r="G238" t="inlineStr">
        <is>
          <t>Sheriff OK box checked</t>
        </is>
      </c>
      <c r="H238" t="n">
        <v>3267.87</v>
      </c>
      <c r="I238" t="inlineStr"/>
    </row>
    <row r="239">
      <c r="A239" t="inlineStr">
        <is>
          <t>87SEP26</t>
        </is>
      </c>
      <c r="B239" t="inlineStr">
        <is>
          <t>MG-24-000678</t>
        </is>
      </c>
      <c r="C239" t="inlineStr">
        <is>
          <t>7730 Tyler Road</t>
        </is>
      </c>
      <c r="D239" t="inlineStr">
        <is>
          <t>Penn Hills</t>
        </is>
      </c>
      <c r="E239" t="inlineStr">
        <is>
          <t>Active</t>
        </is>
      </c>
      <c r="F239" t="inlineStr">
        <is>
          <t>excluded</t>
        </is>
      </c>
      <c r="G239" t="inlineStr">
        <is>
          <t>Docs outstanding: Proof of service on defendant; Rule 3129.2 notice of sale / affidavit of service</t>
        </is>
      </c>
      <c r="H239" t="n">
        <v>1837.28</v>
      </c>
      <c r="I239" t="inlineStr"/>
    </row>
    <row r="240">
      <c r="A240" t="inlineStr">
        <is>
          <t>89SEP26</t>
        </is>
      </c>
      <c r="B240" t="inlineStr">
        <is>
          <t>MG-26-000004</t>
        </is>
      </c>
      <c r="C240" t="inlineStr">
        <is>
          <t>1238 Thelma St</t>
        </is>
      </c>
      <c r="D240" t="inlineStr">
        <is>
          <t>Pittsburgh</t>
        </is>
      </c>
      <c r="E240" t="inlineStr">
        <is>
          <t>Active</t>
        </is>
      </c>
      <c r="F240" t="inlineStr">
        <is>
          <t>excluded</t>
        </is>
      </c>
      <c r="G240" t="inlineStr">
        <is>
          <t>Handbill / short-description defect – Sheriff says sale must be postponed; Sheriff notes sale must be postponed</t>
        </is>
      </c>
      <c r="H240" t="n">
        <v>17001.83</v>
      </c>
      <c r="I240" t="inlineStr"/>
    </row>
    <row r="241">
      <c r="A241" t="inlineStr">
        <is>
          <t>95SEP26</t>
        </is>
      </c>
      <c r="B241" t="inlineStr">
        <is>
          <t>MG-25-000479</t>
        </is>
      </c>
      <c r="C241" t="inlineStr">
        <is>
          <t>337 Queensbury St</t>
        </is>
      </c>
      <c r="D241" t="inlineStr">
        <is>
          <t>Pittsburgh</t>
        </is>
      </c>
      <c r="E241" t="inlineStr">
        <is>
          <t>Active</t>
        </is>
      </c>
      <c r="F241" t="inlineStr">
        <is>
          <t>excluded</t>
        </is>
      </c>
      <c r="G241" t="inlineStr">
        <is>
          <t>Bankruptcy dismissal / relief-from-stay docs (BK 26-22284)</t>
        </is>
      </c>
      <c r="H241" t="n">
        <v>2319.21</v>
      </c>
      <c r="I241" t="inlineStr">
        <is>
          <t>Bankruptcy history: 1 filing(s)</t>
        </is>
      </c>
    </row>
    <row r="242">
      <c r="A242" t="inlineStr">
        <is>
          <t>96SEP26</t>
        </is>
      </c>
      <c r="B242" t="inlineStr">
        <is>
          <t>MG-25-001076</t>
        </is>
      </c>
      <c r="C242" t="inlineStr">
        <is>
          <t>1606 Annette Avenue</t>
        </is>
      </c>
      <c r="D242" t="inlineStr">
        <is>
          <t>South Park</t>
        </is>
      </c>
      <c r="E242" t="inlineStr">
        <is>
          <t>Active</t>
        </is>
      </c>
      <c r="F242" t="inlineStr">
        <is>
          <t>excluded</t>
        </is>
      </c>
      <c r="G242" t="inlineStr">
        <is>
          <t>Docs outstanding: Proof of service on defendant; Rule 3129.2 notice of sale / affidavit of service</t>
        </is>
      </c>
      <c r="H242" t="n">
        <v>1910.72</v>
      </c>
      <c r="I242" t="inlineStr"/>
    </row>
    <row r="243">
      <c r="A243" t="inlineStr">
        <is>
          <t>97SEP26</t>
        </is>
      </c>
      <c r="B243" t="inlineStr">
        <is>
          <t>MG-26-000251</t>
        </is>
      </c>
      <c r="C243" t="inlineStr">
        <is>
          <t>310 Walpole Drive</t>
        </is>
      </c>
      <c r="D243" t="inlineStr">
        <is>
          <t>Penn Hills</t>
        </is>
      </c>
      <c r="E243" t="inlineStr">
        <is>
          <t>Postponed to 1/4/2027</t>
        </is>
      </c>
      <c r="F243" t="inlineStr">
        <is>
          <t>excluded</t>
        </is>
      </c>
      <c r="G243" t="inlineStr">
        <is>
          <t>Postponed to 1/4/2027</t>
        </is>
      </c>
      <c r="H243" t="n">
        <v>4732.69</v>
      </c>
      <c r="I243" t="inlineStr"/>
    </row>
    <row r="244">
      <c r="A244" t="inlineStr">
        <is>
          <t>98SEP26</t>
        </is>
      </c>
      <c r="B244" t="inlineStr">
        <is>
          <t>MG-25-001016</t>
        </is>
      </c>
      <c r="C244" t="inlineStr">
        <is>
          <t>204 Saxonwald Lane</t>
        </is>
      </c>
      <c r="D244" t="inlineStr">
        <is>
          <t>Castle Shannon</t>
        </is>
      </c>
      <c r="E244" t="inlineStr">
        <is>
          <t>Active</t>
        </is>
      </c>
      <c r="F244" t="inlineStr">
        <is>
          <t>ok</t>
        </is>
      </c>
      <c r="G244" t="inlineStr">
        <is>
          <t>Sheriff OK box checked</t>
        </is>
      </c>
      <c r="H244" t="n">
        <v>2430.86</v>
      </c>
      <c r="I244" t="inlineStr"/>
    </row>
    <row r="245">
      <c r="A245" t="inlineStr">
        <is>
          <t>99SEP26</t>
        </is>
      </c>
      <c r="B245" t="inlineStr">
        <is>
          <t>MG-24-000613</t>
        </is>
      </c>
      <c r="C245" t="inlineStr">
        <is>
          <t>4942 Rosetta Street</t>
        </is>
      </c>
      <c r="D245" t="inlineStr">
        <is>
          <t>Pittsburgh</t>
        </is>
      </c>
      <c r="E245" t="inlineStr">
        <is>
          <t>Active</t>
        </is>
      </c>
      <c r="F245" t="inlineStr">
        <is>
          <t>ok</t>
        </is>
      </c>
      <c r="G245" t="inlineStr">
        <is>
          <t>Sheriff OK box checked</t>
        </is>
      </c>
      <c r="H245" t="n">
        <v>6236.97</v>
      </c>
      <c r="I245" t="inlineStr"/>
    </row>
    <row r="246">
      <c r="A246" t="inlineStr">
        <is>
          <t>103SEP26</t>
        </is>
      </c>
      <c r="B246" t="inlineStr">
        <is>
          <t>GD-25-007653</t>
        </is>
      </c>
      <c r="C246" t="inlineStr">
        <is>
          <t>400 Woodland Ave</t>
        </is>
      </c>
      <c r="D246" t="inlineStr">
        <is>
          <t>Oakmont</t>
        </is>
      </c>
      <c r="E246" t="inlineStr">
        <is>
          <t>Active</t>
        </is>
      </c>
      <c r="F246" t="inlineStr">
        <is>
          <t>ok</t>
        </is>
      </c>
      <c r="G246" t="inlineStr">
        <is>
          <t>Sheriff OK box checked</t>
        </is>
      </c>
      <c r="H246" t="n">
        <v>40576.6</v>
      </c>
      <c r="I246" t="inlineStr">
        <is>
          <t>Prior winning bidder forfeited (property re-offered)</t>
        </is>
      </c>
    </row>
    <row r="247">
      <c r="A247" t="inlineStr">
        <is>
          <t>2OCT26</t>
        </is>
      </c>
      <c r="B247" t="inlineStr">
        <is>
          <t>MG-26-000216</t>
        </is>
      </c>
      <c r="C247" t="inlineStr">
        <is>
          <t>918 Nurnberger Drive</t>
        </is>
      </c>
      <c r="D247" t="inlineStr">
        <is>
          <t>Baldwin Boro</t>
        </is>
      </c>
      <c r="E247" t="inlineStr">
        <is>
          <t>Postponed to 2/1/2027</t>
        </is>
      </c>
      <c r="F247" t="inlineStr">
        <is>
          <t>excluded</t>
        </is>
      </c>
      <c r="G247" t="inlineStr">
        <is>
          <t>Postponed to 2/1/2027</t>
        </is>
      </c>
      <c r="H247" t="n">
        <v>2534.2</v>
      </c>
      <c r="I247" t="inlineStr">
        <is>
          <t>Bankruptcy history: 1 filing(s)</t>
        </is>
      </c>
    </row>
    <row r="248">
      <c r="A248" t="inlineStr">
        <is>
          <t>4OCT26</t>
        </is>
      </c>
      <c r="B248" t="inlineStr">
        <is>
          <t>AR-25-009094</t>
        </is>
      </c>
      <c r="C248" t="inlineStr">
        <is>
          <t>1400 Smokey Wood Drive Unit 609</t>
        </is>
      </c>
      <c r="D248" t="inlineStr">
        <is>
          <t>Swissvale</t>
        </is>
      </c>
      <c r="E248" t="inlineStr">
        <is>
          <t>Active</t>
        </is>
      </c>
      <c r="F248" t="inlineStr">
        <is>
          <t>ok</t>
        </is>
      </c>
      <c r="G248" t="inlineStr">
        <is>
          <t>Sheriff OK box checked</t>
        </is>
      </c>
      <c r="H248" t="n">
        <v>11158.93</v>
      </c>
      <c r="I248" t="inlineStr">
        <is>
          <t>HOA/condo judgment sale — a first mortgage may survive the sale</t>
        </is>
      </c>
    </row>
    <row r="249">
      <c r="A249" t="inlineStr">
        <is>
          <t>5OCT26</t>
        </is>
      </c>
      <c r="B249" t="inlineStr">
        <is>
          <t>GD-25-013736</t>
        </is>
      </c>
      <c r="C249" t="inlineStr">
        <is>
          <t>950 Margaretta Ave</t>
        </is>
      </c>
      <c r="D249" t="inlineStr">
        <is>
          <t>Mount Lebanon</t>
        </is>
      </c>
      <c r="E249" t="inlineStr">
        <is>
          <t>Active</t>
        </is>
      </c>
      <c r="F249" t="inlineStr">
        <is>
          <t>almost</t>
        </is>
      </c>
      <c r="G249" t="inlineStr">
        <is>
          <t>Only Rule 3129.3 outstanding</t>
        </is>
      </c>
      <c r="H249" t="n">
        <v>36309.45</v>
      </c>
      <c r="I249" t="inlineStr"/>
    </row>
    <row r="250">
      <c r="A250" t="inlineStr">
        <is>
          <t>10OCT26</t>
        </is>
      </c>
      <c r="B250" t="inlineStr">
        <is>
          <t>GD-26-002368</t>
        </is>
      </c>
      <c r="C250" t="inlineStr">
        <is>
          <t>2914 Glasgow St</t>
        </is>
      </c>
      <c r="D250" t="inlineStr">
        <is>
          <t>Pittsburgh</t>
        </is>
      </c>
      <c r="E250" t="inlineStr">
        <is>
          <t>Active</t>
        </is>
      </c>
      <c r="F250" t="inlineStr">
        <is>
          <t>almost</t>
        </is>
      </c>
      <c r="G250" t="inlineStr">
        <is>
          <t>Only Rule 3129.3 outstanding</t>
        </is>
      </c>
      <c r="H250" t="n">
        <v>1858.7</v>
      </c>
      <c r="I250" t="inlineStr"/>
    </row>
    <row r="251">
      <c r="A251" t="inlineStr">
        <is>
          <t>18OCT26</t>
        </is>
      </c>
      <c r="B251" t="inlineStr">
        <is>
          <t>GD-24-011996</t>
        </is>
      </c>
      <c r="C251" t="inlineStr">
        <is>
          <t>749 Alleghey River Boulevard</t>
        </is>
      </c>
      <c r="D251" t="inlineStr">
        <is>
          <t>Verona</t>
        </is>
      </c>
      <c r="E251" t="inlineStr">
        <is>
          <t>Active</t>
        </is>
      </c>
      <c r="F251" t="inlineStr">
        <is>
          <t>excluded</t>
        </is>
      </c>
      <c r="G251" t="inlineStr">
        <is>
          <t>Non-residential (Commercial)</t>
        </is>
      </c>
      <c r="H251" t="n">
        <v>22142.15</v>
      </c>
      <c r="I251" t="inlineStr"/>
    </row>
    <row r="252">
      <c r="A252" t="inlineStr">
        <is>
          <t>21OCT26</t>
        </is>
      </c>
      <c r="B252" t="inlineStr">
        <is>
          <t>MG-26-000483</t>
        </is>
      </c>
      <c r="C252" t="inlineStr">
        <is>
          <t>79 Grant Avenue</t>
        </is>
      </c>
      <c r="D252" t="inlineStr">
        <is>
          <t>Bellevue</t>
        </is>
      </c>
      <c r="E252" t="inlineStr">
        <is>
          <t>Postponed to 12/7/2026</t>
        </is>
      </c>
      <c r="F252" t="inlineStr">
        <is>
          <t>excluded</t>
        </is>
      </c>
      <c r="G252" t="inlineStr">
        <is>
          <t>Postponed to 12/7/2026</t>
        </is>
      </c>
      <c r="H252" t="n">
        <v>3393.16</v>
      </c>
      <c r="I252" t="inlineStr"/>
    </row>
    <row r="253">
      <c r="A253" t="inlineStr">
        <is>
          <t>22OCT26</t>
        </is>
      </c>
      <c r="B253" t="inlineStr">
        <is>
          <t>MG-24-000540</t>
        </is>
      </c>
      <c r="C253" t="inlineStr">
        <is>
          <t>100 Scott Way</t>
        </is>
      </c>
      <c r="D253" t="inlineStr">
        <is>
          <t>Collier</t>
        </is>
      </c>
      <c r="E253" t="inlineStr">
        <is>
          <t>Active</t>
        </is>
      </c>
      <c r="F253" t="inlineStr">
        <is>
          <t>ok</t>
        </is>
      </c>
      <c r="G253" t="inlineStr">
        <is>
          <t>Sheriff OK box checked</t>
        </is>
      </c>
      <c r="H253" t="n">
        <v>26281.37</v>
      </c>
      <c r="I253" t="inlineStr"/>
    </row>
    <row r="254">
      <c r="A254" t="inlineStr">
        <is>
          <t>26OCT26</t>
        </is>
      </c>
      <c r="B254" t="inlineStr">
        <is>
          <t>MG-26-000016</t>
        </is>
      </c>
      <c r="C254" t="inlineStr">
        <is>
          <t>529 Crocus Avenue</t>
        </is>
      </c>
      <c r="D254" t="inlineStr">
        <is>
          <t>Penn Hills</t>
        </is>
      </c>
      <c r="E254" t="inlineStr">
        <is>
          <t>Active</t>
        </is>
      </c>
      <c r="F254" t="inlineStr">
        <is>
          <t>excluded</t>
        </is>
      </c>
      <c r="G254" t="inlineStr">
        <is>
          <t>Docs outstanding: Proof of service on defendant; Complete Rule 3129.2 notice/affidavit; Rule 3129.3 notice of postponed sale date (for 11/2/26)</t>
        </is>
      </c>
      <c r="H254" t="n">
        <v>2001.5</v>
      </c>
      <c r="I254" t="inlineStr"/>
    </row>
    <row r="255">
      <c r="A255" t="inlineStr">
        <is>
          <t>29OCT26</t>
        </is>
      </c>
      <c r="B255" t="inlineStr">
        <is>
          <t>MG-26-000156</t>
        </is>
      </c>
      <c r="C255" t="inlineStr">
        <is>
          <t>2417 Riverview St</t>
        </is>
      </c>
      <c r="D255" t="inlineStr">
        <is>
          <t>McKeesport</t>
        </is>
      </c>
      <c r="E255" t="inlineStr">
        <is>
          <t>Active</t>
        </is>
      </c>
      <c r="F255" t="inlineStr">
        <is>
          <t>almost</t>
        </is>
      </c>
      <c r="G255" t="inlineStr">
        <is>
          <t>Only Rule 3129.3 outstanding</t>
        </is>
      </c>
      <c r="H255" t="n">
        <v>2965.14</v>
      </c>
      <c r="I255" t="inlineStr"/>
    </row>
    <row r="256">
      <c r="A256" t="inlineStr">
        <is>
          <t>37OCT26</t>
        </is>
      </c>
      <c r="B256" t="inlineStr">
        <is>
          <t>GD-24-000634</t>
        </is>
      </c>
      <c r="C256" t="inlineStr">
        <is>
          <t>1108 High St</t>
        </is>
      </c>
      <c r="D256" t="inlineStr">
        <is>
          <t>Pittsburgh</t>
        </is>
      </c>
      <c r="E256" t="inlineStr">
        <is>
          <t>Active</t>
        </is>
      </c>
      <c r="F256" t="inlineStr">
        <is>
          <t>ok</t>
        </is>
      </c>
      <c r="G256" t="inlineStr">
        <is>
          <t>Sheriff OK box checked</t>
        </is>
      </c>
      <c r="H256" t="n">
        <v>6563.46</v>
      </c>
      <c r="I256" t="inlineStr"/>
    </row>
    <row r="257">
      <c r="A257" t="inlineStr">
        <is>
          <t>39OCT26</t>
        </is>
      </c>
      <c r="B257" t="inlineStr">
        <is>
          <t>MG-26-000302</t>
        </is>
      </c>
      <c r="C257" t="inlineStr">
        <is>
          <t>6305 Darlington Road</t>
        </is>
      </c>
      <c r="D257" t="inlineStr">
        <is>
          <t>Pittsburgh</t>
        </is>
      </c>
      <c r="E257" t="inlineStr">
        <is>
          <t>Active</t>
        </is>
      </c>
      <c r="F257" t="inlineStr">
        <is>
          <t>excluded</t>
        </is>
      </c>
      <c r="G257" t="inlineStr">
        <is>
          <t>Docs outstanding: Proof of service on defendant</t>
        </is>
      </c>
      <c r="H257" t="n">
        <v>9370.51</v>
      </c>
      <c r="I257" t="inlineStr"/>
    </row>
    <row r="258">
      <c r="A258" t="inlineStr">
        <is>
          <t>40OCT26</t>
        </is>
      </c>
      <c r="B258" t="inlineStr">
        <is>
          <t>MG-25-000986</t>
        </is>
      </c>
      <c r="C258" t="inlineStr">
        <is>
          <t>1002 Powers Run Rd</t>
        </is>
      </c>
      <c r="D258" t="inlineStr">
        <is>
          <t>O'Hara</t>
        </is>
      </c>
      <c r="E258" t="inlineStr">
        <is>
          <t>Active</t>
        </is>
      </c>
      <c r="F258" t="inlineStr">
        <is>
          <t>ok</t>
        </is>
      </c>
      <c r="G258" t="inlineStr">
        <is>
          <t>Sheriff OK box checked</t>
        </is>
      </c>
      <c r="H258" t="n">
        <v>2306.37</v>
      </c>
      <c r="I258" t="inlineStr"/>
    </row>
    <row r="259">
      <c r="A259" t="inlineStr">
        <is>
          <t>42OCT26</t>
        </is>
      </c>
      <c r="B259" t="inlineStr">
        <is>
          <t>MG-22-000683</t>
        </is>
      </c>
      <c r="C259" t="inlineStr">
        <is>
          <t>1705 Hill St</t>
        </is>
      </c>
      <c r="D259" t="inlineStr">
        <is>
          <t>White Oak</t>
        </is>
      </c>
      <c r="E259" t="inlineStr">
        <is>
          <t>Active</t>
        </is>
      </c>
      <c r="F259" t="inlineStr">
        <is>
          <t>excluded</t>
        </is>
      </c>
      <c r="G259" t="inlineStr">
        <is>
          <t>Docs outstanding: Proof of service on defendant</t>
        </is>
      </c>
      <c r="H259" t="n">
        <v>6141.93</v>
      </c>
      <c r="I259" t="inlineStr"/>
    </row>
    <row r="260">
      <c r="A260" t="inlineStr">
        <is>
          <t>50OCT26</t>
        </is>
      </c>
      <c r="B260" t="inlineStr">
        <is>
          <t>GD-25-003997</t>
        </is>
      </c>
      <c r="C260" t="inlineStr">
        <is>
          <t>5919 Dorlyn Drive</t>
        </is>
      </c>
      <c r="D260" t="inlineStr">
        <is>
          <t>Bethel Park</t>
        </is>
      </c>
      <c r="E260" t="inlineStr">
        <is>
          <t>Active</t>
        </is>
      </c>
      <c r="F260" t="inlineStr">
        <is>
          <t>ok</t>
        </is>
      </c>
      <c r="G260" t="inlineStr">
        <is>
          <t>Sheriff OK box checked</t>
        </is>
      </c>
      <c r="H260" t="n">
        <v>38158.07</v>
      </c>
      <c r="I260" t="inlineStr"/>
    </row>
    <row r="261">
      <c r="A261" t="inlineStr">
        <is>
          <t>53OCT26</t>
        </is>
      </c>
      <c r="B261" t="inlineStr">
        <is>
          <t>GD-24-008177</t>
        </is>
      </c>
      <c r="C261" t="inlineStr">
        <is>
          <t>52 Everett Road</t>
        </is>
      </c>
      <c r="D261" t="inlineStr">
        <is>
          <t>Penn Hills</t>
        </is>
      </c>
      <c r="E261" t="inlineStr">
        <is>
          <t>Active</t>
        </is>
      </c>
      <c r="F261" t="inlineStr">
        <is>
          <t>ok</t>
        </is>
      </c>
      <c r="G261" t="inlineStr">
        <is>
          <t>Sheriff OK box checked</t>
        </is>
      </c>
      <c r="H261" t="n">
        <v>19540.69</v>
      </c>
      <c r="I261" t="inlineStr"/>
    </row>
    <row r="262">
      <c r="A262" t="inlineStr">
        <is>
          <t>54OCT26</t>
        </is>
      </c>
      <c r="B262" t="inlineStr">
        <is>
          <t>GD-26-000385</t>
        </is>
      </c>
      <c r="C262" t="inlineStr">
        <is>
          <t>718 Plum Street</t>
        </is>
      </c>
      <c r="D262" t="inlineStr">
        <is>
          <t>Oakmont</t>
        </is>
      </c>
      <c r="E262" t="inlineStr">
        <is>
          <t>Active</t>
        </is>
      </c>
      <c r="F262" t="inlineStr">
        <is>
          <t>excluded</t>
        </is>
      </c>
      <c r="G262" t="inlineStr">
        <is>
          <t>Non-residential (Industrial)</t>
        </is>
      </c>
      <c r="H262" t="n">
        <v>29990.44</v>
      </c>
      <c r="I262" t="inlineStr"/>
    </row>
    <row r="263">
      <c r="A263" t="inlineStr">
        <is>
          <t>59OCT26</t>
        </is>
      </c>
      <c r="B263" t="inlineStr">
        <is>
          <t>GD-25-009931</t>
        </is>
      </c>
      <c r="C263" t="inlineStr">
        <is>
          <t>302 Rothey Drive</t>
        </is>
      </c>
      <c r="D263" t="inlineStr">
        <is>
          <t>Elizabeth Twp</t>
        </is>
      </c>
      <c r="E263" t="inlineStr">
        <is>
          <t>Stayed</t>
        </is>
      </c>
      <c r="F263" t="inlineStr">
        <is>
          <t>excluded</t>
        </is>
      </c>
      <c r="G263" t="inlineStr">
        <is>
          <t>Stayed</t>
        </is>
      </c>
      <c r="H263" t="n">
        <v>21024.86</v>
      </c>
      <c r="I263" t="inlineStr"/>
    </row>
    <row r="264">
      <c r="A264" t="inlineStr">
        <is>
          <t>66OCT26</t>
        </is>
      </c>
      <c r="B264" t="inlineStr">
        <is>
          <t>GD-25-004079</t>
        </is>
      </c>
      <c r="C264" t="inlineStr">
        <is>
          <t>220 Graham St</t>
        </is>
      </c>
      <c r="D264" t="inlineStr">
        <is>
          <t>Sewickley</t>
        </is>
      </c>
      <c r="E264" t="inlineStr">
        <is>
          <t>Active</t>
        </is>
      </c>
      <c r="F264" t="inlineStr">
        <is>
          <t>excluded</t>
        </is>
      </c>
      <c r="G264" t="inlineStr">
        <is>
          <t>Non-residential (Commercial)</t>
        </is>
      </c>
      <c r="H264" t="n">
        <v>76743.64999999999</v>
      </c>
      <c r="I264" t="inlineStr">
        <is>
          <t>Federal tax lien / IRS</t>
        </is>
      </c>
    </row>
    <row r="265">
      <c r="A265" t="inlineStr">
        <is>
          <t>70OCT26</t>
        </is>
      </c>
      <c r="B265" t="inlineStr">
        <is>
          <t>GD-25-008114</t>
        </is>
      </c>
      <c r="C265" t="inlineStr">
        <is>
          <t>520 Westinghouse Avenue</t>
        </is>
      </c>
      <c r="D265" t="inlineStr">
        <is>
          <t>North Versailles</t>
        </is>
      </c>
      <c r="E265" t="inlineStr">
        <is>
          <t>Active</t>
        </is>
      </c>
      <c r="F265" t="inlineStr">
        <is>
          <t>ok</t>
        </is>
      </c>
      <c r="G265" t="inlineStr">
        <is>
          <t>Sheriff OK box checked</t>
        </is>
      </c>
      <c r="H265" t="n">
        <v>9195.110000000001</v>
      </c>
      <c r="I265" t="inlineStr"/>
    </row>
    <row r="266">
      <c r="A266" t="inlineStr">
        <is>
          <t>73OCT26</t>
        </is>
      </c>
      <c r="B266" t="inlineStr">
        <is>
          <t>GD-23-002702</t>
        </is>
      </c>
      <c r="C266" t="inlineStr">
        <is>
          <t>817 Boquet St</t>
        </is>
      </c>
      <c r="D266" t="inlineStr">
        <is>
          <t>McKees Rocks</t>
        </is>
      </c>
      <c r="E266" t="inlineStr">
        <is>
          <t>Active</t>
        </is>
      </c>
      <c r="F266" t="inlineStr">
        <is>
          <t>ok</t>
        </is>
      </c>
      <c r="G266" t="inlineStr">
        <is>
          <t>Sheriff OK box checked</t>
        </is>
      </c>
      <c r="H266" t="n">
        <v>30916.14</v>
      </c>
      <c r="I266" t="inlineStr"/>
    </row>
    <row r="267">
      <c r="A267" t="inlineStr">
        <is>
          <t>78OCT26</t>
        </is>
      </c>
      <c r="B267" t="inlineStr">
        <is>
          <t>GD-25-001904</t>
        </is>
      </c>
      <c r="C267" t="inlineStr">
        <is>
          <t>138 Coal Valley Road</t>
        </is>
      </c>
      <c r="D267" t="inlineStr">
        <is>
          <t>Jefferson Hills</t>
        </is>
      </c>
      <c r="E267" t="inlineStr">
        <is>
          <t>Postponed to 12/7/2026</t>
        </is>
      </c>
      <c r="F267" t="inlineStr">
        <is>
          <t>excluded</t>
        </is>
      </c>
      <c r="G267" t="inlineStr">
        <is>
          <t>Postponed to 12/7/2026</t>
        </is>
      </c>
      <c r="H267" t="n">
        <v>82515.31</v>
      </c>
      <c r="I267" t="inlineStr"/>
    </row>
    <row r="268">
      <c r="A268" t="inlineStr">
        <is>
          <t>81OCT26</t>
        </is>
      </c>
      <c r="B268" t="inlineStr">
        <is>
          <t>GD-26-004638</t>
        </is>
      </c>
      <c r="C268" t="inlineStr">
        <is>
          <t>2541 Library Rd</t>
        </is>
      </c>
      <c r="D268" t="inlineStr">
        <is>
          <t>Pittsburgh</t>
        </is>
      </c>
      <c r="E268" t="inlineStr">
        <is>
          <t>Active</t>
        </is>
      </c>
      <c r="F268" t="inlineStr">
        <is>
          <t>excluded</t>
        </is>
      </c>
      <c r="G268" t="inlineStr">
        <is>
          <t>Docs outstanding: Proof of service on defendants; Rule 3129.2 notice of sale / affidavit of service; Rule 3129.3 notice of postponed sale date (for 11/2/26)</t>
        </is>
      </c>
      <c r="H268" t="n">
        <v>3396.52</v>
      </c>
      <c r="I268" t="inlineStr"/>
    </row>
    <row r="269">
      <c r="A269" t="inlineStr">
        <is>
          <t>85OCT26</t>
        </is>
      </c>
      <c r="B269" t="inlineStr">
        <is>
          <t>MG-26-000240</t>
        </is>
      </c>
      <c r="C269" t="inlineStr">
        <is>
          <t>1240 Superior Avenue</t>
        </is>
      </c>
      <c r="D269" t="inlineStr">
        <is>
          <t>Pittsburgh</t>
        </is>
      </c>
      <c r="E269" t="inlineStr">
        <is>
          <t>Postponed to 12/7/2026</t>
        </is>
      </c>
      <c r="F269" t="inlineStr">
        <is>
          <t>excluded</t>
        </is>
      </c>
      <c r="G269" t="inlineStr">
        <is>
          <t>Postponed to 12/7/2026</t>
        </is>
      </c>
      <c r="H269" t="n">
        <v>4153.88</v>
      </c>
      <c r="I269" t="inlineStr"/>
    </row>
    <row r="270">
      <c r="A270" t="inlineStr">
        <is>
          <t>86OCT26</t>
        </is>
      </c>
      <c r="B270" t="inlineStr">
        <is>
          <t>MG-25-000949</t>
        </is>
      </c>
      <c r="C270" t="inlineStr">
        <is>
          <t>3911 Vistaview Street</t>
        </is>
      </c>
      <c r="D270" t="inlineStr">
        <is>
          <t>West Mifflin</t>
        </is>
      </c>
      <c r="E270" t="inlineStr">
        <is>
          <t>Active</t>
        </is>
      </c>
      <c r="F270" t="inlineStr">
        <is>
          <t>excluded</t>
        </is>
      </c>
      <c r="G270" t="inlineStr">
        <is>
          <t>Docs outstanding: Rule 3129.2 notice of sale / affidavit of service</t>
        </is>
      </c>
      <c r="H270" t="n">
        <v>2549.94</v>
      </c>
      <c r="I270" t="inlineStr"/>
    </row>
    <row r="271">
      <c r="A271" t="inlineStr">
        <is>
          <t>91OCT26</t>
        </is>
      </c>
      <c r="B271" t="inlineStr">
        <is>
          <t>MG-25-000146</t>
        </is>
      </c>
      <c r="C271" t="inlineStr">
        <is>
          <t>84 Mount Vernon Avenue</t>
        </is>
      </c>
      <c r="D271" t="inlineStr">
        <is>
          <t>West View</t>
        </is>
      </c>
      <c r="E271" t="inlineStr">
        <is>
          <t>Active</t>
        </is>
      </c>
      <c r="F271" t="inlineStr">
        <is>
          <t>excluded</t>
        </is>
      </c>
      <c r="G271" t="inlineStr">
        <is>
          <t>Docs outstanding: Proof of service on defendant</t>
        </is>
      </c>
      <c r="H271" t="n">
        <v>8473.969999999999</v>
      </c>
      <c r="I271" t="inlineStr"/>
    </row>
    <row r="272">
      <c r="A272" t="inlineStr">
        <is>
          <t>100OCT26</t>
        </is>
      </c>
      <c r="B272" t="inlineStr">
        <is>
          <t>MG-25-000939</t>
        </is>
      </c>
      <c r="C272" t="inlineStr">
        <is>
          <t>5302 Duncan St ; 5306 Duncan St</t>
        </is>
      </c>
      <c r="D272" t="inlineStr">
        <is>
          <t>Pittsburgh</t>
        </is>
      </c>
      <c r="E272" t="inlineStr">
        <is>
          <t>Postponed to 12/7/2026</t>
        </is>
      </c>
      <c r="F272" t="inlineStr">
        <is>
          <t>excluded</t>
        </is>
      </c>
      <c r="G272" t="inlineStr">
        <is>
          <t>Postponed to 12/7/2026</t>
        </is>
      </c>
      <c r="H272" t="n">
        <v>7414.9</v>
      </c>
      <c r="I272" t="inlineStr"/>
    </row>
    <row r="273">
      <c r="A273" t="inlineStr">
        <is>
          <t>101OCT26</t>
        </is>
      </c>
      <c r="B273" t="inlineStr">
        <is>
          <t>GD-26-004276</t>
        </is>
      </c>
      <c r="C273" t="inlineStr">
        <is>
          <t>611 E 18th Ave</t>
        </is>
      </c>
      <c r="D273" t="inlineStr">
        <is>
          <t>Munhall</t>
        </is>
      </c>
      <c r="E273" t="inlineStr">
        <is>
          <t>Postponed to 1/4/2027</t>
        </is>
      </c>
      <c r="F273" t="inlineStr">
        <is>
          <t>excluded</t>
        </is>
      </c>
      <c r="G273" t="inlineStr">
        <is>
          <t>Postponed to 1/4/2027</t>
        </is>
      </c>
      <c r="H273" t="n">
        <v>4540.7</v>
      </c>
      <c r="I273" t="inlineStr"/>
    </row>
    <row r="274">
      <c r="A274" t="inlineStr">
        <is>
          <t>103OCT26</t>
        </is>
      </c>
      <c r="B274" t="inlineStr">
        <is>
          <t>GD-25-008329</t>
        </is>
      </c>
      <c r="C274" t="inlineStr">
        <is>
          <t>411-415 Seventh Avenue ; 411 Seventh Avenue</t>
        </is>
      </c>
      <c r="D274" t="inlineStr">
        <is>
          <t>Pittsburgh</t>
        </is>
      </c>
      <c r="E274" t="inlineStr">
        <is>
          <t>Active</t>
        </is>
      </c>
      <c r="F274" t="inlineStr">
        <is>
          <t>excluded</t>
        </is>
      </c>
      <c r="G274" t="inlineStr">
        <is>
          <t>Non-residential (Commercial)</t>
        </is>
      </c>
      <c r="H274" t="n">
        <v>9907.360000000001</v>
      </c>
      <c r="I274" t="inlineStr"/>
    </row>
    <row r="275">
      <c r="A275" t="inlineStr">
        <is>
          <t>108OCT26</t>
        </is>
      </c>
      <c r="B275" t="inlineStr">
        <is>
          <t>MG-24-000905</t>
        </is>
      </c>
      <c r="C275" t="inlineStr">
        <is>
          <t>1609 Mobile Avenue</t>
        </is>
      </c>
      <c r="D275" t="inlineStr">
        <is>
          <t>Turtle Creek</t>
        </is>
      </c>
      <c r="E275" t="inlineStr">
        <is>
          <t>Active</t>
        </is>
      </c>
      <c r="F275" t="inlineStr">
        <is>
          <t>ok</t>
        </is>
      </c>
      <c r="G275" t="inlineStr">
        <is>
          <t>Sheriff OK box checked</t>
        </is>
      </c>
      <c r="H275" t="n">
        <v>1952.9</v>
      </c>
      <c r="I275" t="inlineStr"/>
    </row>
    <row r="276">
      <c r="A276" t="inlineStr">
        <is>
          <t>111OCT26</t>
        </is>
      </c>
      <c r="B276" t="inlineStr">
        <is>
          <t>GD-25-004965</t>
        </is>
      </c>
      <c r="C276" t="inlineStr">
        <is>
          <t>363 2nd St</t>
        </is>
      </c>
      <c r="D276" t="inlineStr">
        <is>
          <t>Pitcairn</t>
        </is>
      </c>
      <c r="E276" t="inlineStr">
        <is>
          <t>Active</t>
        </is>
      </c>
      <c r="F276" t="inlineStr">
        <is>
          <t>excluded</t>
        </is>
      </c>
      <c r="G276" t="inlineStr">
        <is>
          <t>Non-residential (Commercial)</t>
        </is>
      </c>
      <c r="H276" t="n">
        <v>12060.58</v>
      </c>
      <c r="I276" t="inlineStr"/>
    </row>
    <row r="277">
      <c r="A277" t="inlineStr">
        <is>
          <t>1NOV26</t>
        </is>
      </c>
      <c r="B277" t="inlineStr">
        <is>
          <t>GD-23-010163</t>
        </is>
      </c>
      <c r="C277" t="inlineStr">
        <is>
          <t>2925 Idaho Avenue</t>
        </is>
      </c>
      <c r="D277" t="inlineStr">
        <is>
          <t>Bethel Park</t>
        </is>
      </c>
      <c r="E277" t="inlineStr">
        <is>
          <t>Active</t>
        </is>
      </c>
      <c r="F277" t="inlineStr">
        <is>
          <t>excluded</t>
        </is>
      </c>
      <c r="G277" t="inlineStr">
        <is>
          <t>Docs outstanding: Proof of service on defendants</t>
        </is>
      </c>
      <c r="H277" t="n">
        <v>48247.4</v>
      </c>
      <c r="I277" t="inlineStr"/>
    </row>
    <row r="278">
      <c r="A278" t="inlineStr">
        <is>
          <t>2NOV26</t>
        </is>
      </c>
      <c r="B278" t="inlineStr">
        <is>
          <t>GD-23-010808</t>
        </is>
      </c>
      <c r="C278" t="inlineStr">
        <is>
          <t>2670 Broad Street</t>
        </is>
      </c>
      <c r="D278" t="inlineStr">
        <is>
          <t>Bethel Park</t>
        </is>
      </c>
      <c r="E278" t="inlineStr">
        <is>
          <t>Active</t>
        </is>
      </c>
      <c r="F278" t="inlineStr">
        <is>
          <t>ok</t>
        </is>
      </c>
      <c r="G278" t="inlineStr">
        <is>
          <t>Sheriff OK box checked</t>
        </is>
      </c>
      <c r="H278" t="n">
        <v>40854.87</v>
      </c>
      <c r="I278" t="inlineStr"/>
    </row>
    <row r="279">
      <c r="A279" t="inlineStr">
        <is>
          <t>3NOV26</t>
        </is>
      </c>
      <c r="B279" t="inlineStr">
        <is>
          <t>GD-17-006494</t>
        </is>
      </c>
      <c r="C279" t="inlineStr">
        <is>
          <t>2239 Tilbrook Rd</t>
        </is>
      </c>
      <c r="D279" t="inlineStr">
        <is>
          <t>Monroeville</t>
        </is>
      </c>
      <c r="E279" t="inlineStr">
        <is>
          <t>Active</t>
        </is>
      </c>
      <c r="F279" t="inlineStr">
        <is>
          <t>ok</t>
        </is>
      </c>
      <c r="G279" t="inlineStr">
        <is>
          <t>Sheriff OK box checked</t>
        </is>
      </c>
      <c r="H279" t="n">
        <v>65842.8</v>
      </c>
      <c r="I279" t="inlineStr"/>
    </row>
    <row r="280">
      <c r="A280" t="inlineStr">
        <is>
          <t>4NOV26</t>
        </is>
      </c>
      <c r="B280" t="inlineStr">
        <is>
          <t>GD-23-011301</t>
        </is>
      </c>
      <c r="C280" t="inlineStr">
        <is>
          <t>1560 Worthington Ave</t>
        </is>
      </c>
      <c r="D280" t="inlineStr">
        <is>
          <t>Jefferson Hills</t>
        </is>
      </c>
      <c r="E280" t="inlineStr">
        <is>
          <t>Active</t>
        </is>
      </c>
      <c r="F280" t="inlineStr">
        <is>
          <t>excluded</t>
        </is>
      </c>
      <c r="G280" t="inlineStr">
        <is>
          <t>Non-residential (Commercial)</t>
        </is>
      </c>
      <c r="H280" t="n">
        <v>79247.67</v>
      </c>
      <c r="I280" t="inlineStr"/>
    </row>
    <row r="281">
      <c r="A281" t="inlineStr">
        <is>
          <t>5NOV26</t>
        </is>
      </c>
      <c r="B281" t="inlineStr">
        <is>
          <t>GD-25-001437</t>
        </is>
      </c>
      <c r="C281" t="inlineStr">
        <is>
          <t>2017 Ridge Road</t>
        </is>
      </c>
      <c r="D281" t="inlineStr">
        <is>
          <t>Jefferson Hills</t>
        </is>
      </c>
      <c r="E281" t="inlineStr">
        <is>
          <t>Active</t>
        </is>
      </c>
      <c r="F281" t="inlineStr">
        <is>
          <t>ok</t>
        </is>
      </c>
      <c r="G281" t="inlineStr">
        <is>
          <t>Sheriff OK box checked</t>
        </is>
      </c>
      <c r="H281" t="n">
        <v>34615.99</v>
      </c>
      <c r="I281" t="inlineStr"/>
    </row>
    <row r="282">
      <c r="A282" t="inlineStr">
        <is>
          <t>6NOV26</t>
        </is>
      </c>
      <c r="B282" t="inlineStr">
        <is>
          <t>GD-24-005281</t>
        </is>
      </c>
      <c r="C282" t="inlineStr">
        <is>
          <t>124 Wray Large Road</t>
        </is>
      </c>
      <c r="D282" t="inlineStr">
        <is>
          <t>Jefferson Hills</t>
        </is>
      </c>
      <c r="E282" t="inlineStr">
        <is>
          <t>Active</t>
        </is>
      </c>
      <c r="F282" t="inlineStr">
        <is>
          <t>ok</t>
        </is>
      </c>
      <c r="G282" t="inlineStr">
        <is>
          <t>Sheriff OK box checked</t>
        </is>
      </c>
      <c r="H282" t="n">
        <v>65779.59</v>
      </c>
      <c r="I282" t="inlineStr"/>
    </row>
    <row r="283">
      <c r="A283" t="inlineStr">
        <is>
          <t>7NOV26</t>
        </is>
      </c>
      <c r="B283" t="inlineStr">
        <is>
          <t>MG-26-000444</t>
        </is>
      </c>
      <c r="C283" t="inlineStr">
        <is>
          <t>810 Sweetleaf Drive</t>
        </is>
      </c>
      <c r="D283" t="inlineStr">
        <is>
          <t>Monroeville</t>
        </is>
      </c>
      <c r="E283" t="inlineStr">
        <is>
          <t>Active</t>
        </is>
      </c>
      <c r="F283" t="inlineStr">
        <is>
          <t>ok</t>
        </is>
      </c>
      <c r="G283" t="inlineStr">
        <is>
          <t>Sheriff OK box checked</t>
        </is>
      </c>
      <c r="H283" t="n">
        <v>2374.2</v>
      </c>
      <c r="I283" t="inlineStr"/>
    </row>
    <row r="284">
      <c r="A284" t="inlineStr">
        <is>
          <t>8NOV26</t>
        </is>
      </c>
      <c r="B284" t="inlineStr">
        <is>
          <t>MG-22-000715</t>
        </is>
      </c>
      <c r="C284" t="inlineStr">
        <is>
          <t>442 Limestone Drive</t>
        </is>
      </c>
      <c r="D284" t="inlineStr">
        <is>
          <t>Bethel Park</t>
        </is>
      </c>
      <c r="E284" t="inlineStr">
        <is>
          <t>Active</t>
        </is>
      </c>
      <c r="F284" t="inlineStr">
        <is>
          <t>ok</t>
        </is>
      </c>
      <c r="G284" t="inlineStr">
        <is>
          <t>Sheriff OK box checked</t>
        </is>
      </c>
      <c r="H284" t="n">
        <v>14091.23</v>
      </c>
      <c r="I284" t="inlineStr"/>
    </row>
    <row r="285">
      <c r="A285" t="inlineStr">
        <is>
          <t>9NOV26</t>
        </is>
      </c>
      <c r="B285" t="inlineStr">
        <is>
          <t>MG-26-000473</t>
        </is>
      </c>
      <c r="C285" t="inlineStr">
        <is>
          <t>6312 Waldron Street</t>
        </is>
      </c>
      <c r="D285" t="inlineStr">
        <is>
          <t>Pittsburgh</t>
        </is>
      </c>
      <c r="E285" t="inlineStr">
        <is>
          <t>Stayed</t>
        </is>
      </c>
      <c r="F285" t="inlineStr">
        <is>
          <t>excluded</t>
        </is>
      </c>
      <c r="G285" t="inlineStr">
        <is>
          <t>Stayed</t>
        </is>
      </c>
      <c r="H285" t="n">
        <v>1337.3</v>
      </c>
      <c r="I285" t="inlineStr"/>
    </row>
    <row r="286">
      <c r="A286" t="inlineStr">
        <is>
          <t>10NOV26</t>
        </is>
      </c>
      <c r="B286" t="inlineStr">
        <is>
          <t>MG-25-001025</t>
        </is>
      </c>
      <c r="C286" t="inlineStr">
        <is>
          <t>328 Bascom Avenue</t>
        </is>
      </c>
      <c r="D286" t="inlineStr">
        <is>
          <t>Ross</t>
        </is>
      </c>
      <c r="E286" t="inlineStr">
        <is>
          <t>Active</t>
        </is>
      </c>
      <c r="F286" t="inlineStr">
        <is>
          <t>excluded</t>
        </is>
      </c>
      <c r="G286" t="inlineStr">
        <is>
          <t>Docs outstanding: Proof of service on defendants; Rule 3129.2 notice of sale / affidavit of service</t>
        </is>
      </c>
      <c r="H286" t="n">
        <v>2390.96</v>
      </c>
      <c r="I286" t="inlineStr"/>
    </row>
    <row r="287">
      <c r="A287" t="inlineStr">
        <is>
          <t>11NOV26</t>
        </is>
      </c>
      <c r="B287" t="inlineStr">
        <is>
          <t>MG-26-000373</t>
        </is>
      </c>
      <c r="C287" t="inlineStr">
        <is>
          <t>700 Attica Street</t>
        </is>
      </c>
      <c r="D287" t="inlineStr">
        <is>
          <t>Pittsburgh</t>
        </is>
      </c>
      <c r="E287" t="inlineStr">
        <is>
          <t>Active</t>
        </is>
      </c>
      <c r="F287" t="inlineStr">
        <is>
          <t>ok</t>
        </is>
      </c>
      <c r="G287" t="inlineStr">
        <is>
          <t>Sheriff OK box checked</t>
        </is>
      </c>
      <c r="H287" t="n">
        <v>6739.5</v>
      </c>
      <c r="I287" t="inlineStr"/>
    </row>
    <row r="288">
      <c r="A288" t="inlineStr">
        <is>
          <t>12NOV26</t>
        </is>
      </c>
      <c r="B288" t="inlineStr">
        <is>
          <t>GD-26-004103</t>
        </is>
      </c>
      <c r="C288" t="inlineStr">
        <is>
          <t>3127 Sorento Street</t>
        </is>
      </c>
      <c r="D288" t="inlineStr">
        <is>
          <t>Pittsburgh</t>
        </is>
      </c>
      <c r="E288" t="inlineStr">
        <is>
          <t>Postponed to 1/4/2027</t>
        </is>
      </c>
      <c r="F288" t="inlineStr">
        <is>
          <t>excluded</t>
        </is>
      </c>
      <c r="G288" t="inlineStr">
        <is>
          <t>Postponed to 1/4/2027</t>
        </is>
      </c>
      <c r="H288" t="n">
        <v>1960.7</v>
      </c>
      <c r="I288" t="inlineStr"/>
    </row>
    <row r="289">
      <c r="A289" t="inlineStr">
        <is>
          <t>13NOV26</t>
        </is>
      </c>
      <c r="B289" t="inlineStr">
        <is>
          <t>MG-25-000238</t>
        </is>
      </c>
      <c r="C289" t="inlineStr">
        <is>
          <t>5420 Florida Ave</t>
        </is>
      </c>
      <c r="D289" t="inlineStr">
        <is>
          <t>Bethel Park</t>
        </is>
      </c>
      <c r="E289" t="inlineStr">
        <is>
          <t>Active</t>
        </is>
      </c>
      <c r="F289" t="inlineStr">
        <is>
          <t>excluded</t>
        </is>
      </c>
      <c r="G289" t="inlineStr">
        <is>
          <t>Docs outstanding: Proof of service on defendant; Rule 3129.2 notice of sale / affidavit of service</t>
        </is>
      </c>
      <c r="H289" t="n">
        <v>8277.379999999999</v>
      </c>
      <c r="I289" t="inlineStr"/>
    </row>
    <row r="290">
      <c r="A290" t="inlineStr">
        <is>
          <t>14NOV26</t>
        </is>
      </c>
      <c r="B290" t="inlineStr">
        <is>
          <t>MG-25-000834</t>
        </is>
      </c>
      <c r="C290" t="inlineStr">
        <is>
          <t>121 Frazier Avenue</t>
        </is>
      </c>
      <c r="D290" t="inlineStr">
        <is>
          <t>Stowe</t>
        </is>
      </c>
      <c r="E290" t="inlineStr">
        <is>
          <t>Postponed to 1/4/2027</t>
        </is>
      </c>
      <c r="F290" t="inlineStr">
        <is>
          <t>excluded</t>
        </is>
      </c>
      <c r="G290" t="inlineStr">
        <is>
          <t>Postponed to 1/4/2027</t>
        </is>
      </c>
      <c r="H290" t="n">
        <v>7431.86</v>
      </c>
      <c r="I290" t="inlineStr"/>
    </row>
    <row r="291">
      <c r="A291" t="inlineStr">
        <is>
          <t>15NOV26</t>
        </is>
      </c>
      <c r="B291" t="inlineStr">
        <is>
          <t>GD-24-006907</t>
        </is>
      </c>
      <c r="C291" t="inlineStr">
        <is>
          <t>2110 Versailles Ave</t>
        </is>
      </c>
      <c r="D291" t="inlineStr">
        <is>
          <t>McKeesport</t>
        </is>
      </c>
      <c r="E291" t="inlineStr">
        <is>
          <t>Active</t>
        </is>
      </c>
      <c r="F291" t="inlineStr">
        <is>
          <t>excluded</t>
        </is>
      </c>
      <c r="G291" t="inlineStr">
        <is>
          <t>Non-residential (Commercial)</t>
        </is>
      </c>
      <c r="H291" t="n">
        <v>66234.95</v>
      </c>
      <c r="I291" t="inlineStr"/>
    </row>
    <row r="292">
      <c r="A292" t="inlineStr">
        <is>
          <t>16NOV26</t>
        </is>
      </c>
      <c r="B292" t="inlineStr">
        <is>
          <t>GD-22-011455</t>
        </is>
      </c>
      <c r="C292" t="inlineStr">
        <is>
          <t>4709 Walnut St</t>
        </is>
      </c>
      <c r="D292" t="inlineStr">
        <is>
          <t>Versailles</t>
        </is>
      </c>
      <c r="E292" t="inlineStr">
        <is>
          <t>Active</t>
        </is>
      </c>
      <c r="F292" t="inlineStr">
        <is>
          <t>excluded</t>
        </is>
      </c>
      <c r="G292" t="inlineStr">
        <is>
          <t>Non-residential (Commercial ; Vacant Commercial)</t>
        </is>
      </c>
      <c r="H292" t="n">
        <v>21502.72</v>
      </c>
      <c r="I292" t="inlineStr"/>
    </row>
    <row r="293">
      <c r="A293" t="inlineStr">
        <is>
          <t>17NOV26</t>
        </is>
      </c>
      <c r="B293" t="inlineStr">
        <is>
          <t>GD-26-004140</t>
        </is>
      </c>
      <c r="C293" t="inlineStr">
        <is>
          <t>903 A 5th Avenue</t>
        </is>
      </c>
      <c r="D293" t="inlineStr">
        <is>
          <t>Coraopolis</t>
        </is>
      </c>
      <c r="E293" t="inlineStr">
        <is>
          <t>Active</t>
        </is>
      </c>
      <c r="F293" t="inlineStr">
        <is>
          <t>excluded</t>
        </is>
      </c>
      <c r="G293" t="inlineStr">
        <is>
          <t>Non-residential (Commercial)</t>
        </is>
      </c>
      <c r="H293" t="n">
        <v>73856.72</v>
      </c>
      <c r="I293" t="inlineStr"/>
    </row>
    <row r="294">
      <c r="A294" t="inlineStr">
        <is>
          <t>18NOV26</t>
        </is>
      </c>
      <c r="B294" t="inlineStr">
        <is>
          <t>MG-17-000570</t>
        </is>
      </c>
      <c r="C294" t="inlineStr">
        <is>
          <t>132 Peppergrass Road</t>
        </is>
      </c>
      <c r="D294" t="inlineStr">
        <is>
          <t>Marshall</t>
        </is>
      </c>
      <c r="E294" t="inlineStr">
        <is>
          <t>Active</t>
        </is>
      </c>
      <c r="F294" t="inlineStr">
        <is>
          <t>excluded</t>
        </is>
      </c>
      <c r="G294" t="inlineStr">
        <is>
          <t>Docs outstanding: Proof of service on defendants; Rule 3129.2 notice of sale / affidavit of service</t>
        </is>
      </c>
      <c r="H294" t="n">
        <v>43759.38</v>
      </c>
      <c r="I294" t="inlineStr"/>
    </row>
    <row r="295">
      <c r="A295" t="inlineStr">
        <is>
          <t>19NOV26</t>
        </is>
      </c>
      <c r="B295" t="inlineStr">
        <is>
          <t>MG-19-001316</t>
        </is>
      </c>
      <c r="C295" t="inlineStr">
        <is>
          <t>246 Ashland Avenue</t>
        </is>
      </c>
      <c r="D295" t="inlineStr">
        <is>
          <t>Mount Lebanon</t>
        </is>
      </c>
      <c r="E295" t="inlineStr">
        <is>
          <t>Active</t>
        </is>
      </c>
      <c r="F295" t="inlineStr">
        <is>
          <t>ok</t>
        </is>
      </c>
      <c r="G295" t="inlineStr">
        <is>
          <t>Sheriff OK box checked</t>
        </is>
      </c>
      <c r="H295" t="n">
        <v>32120.13</v>
      </c>
      <c r="I295" t="inlineStr"/>
    </row>
    <row r="296">
      <c r="A296" t="inlineStr">
        <is>
          <t>20NOV26</t>
        </is>
      </c>
      <c r="B296" t="inlineStr">
        <is>
          <t>MG-20-000199</t>
        </is>
      </c>
      <c r="C296" t="inlineStr">
        <is>
          <t>2422 Easler Street</t>
        </is>
      </c>
      <c r="D296" t="inlineStr">
        <is>
          <t>McKeesport</t>
        </is>
      </c>
      <c r="E296" t="inlineStr">
        <is>
          <t>Active</t>
        </is>
      </c>
      <c r="F296" t="inlineStr">
        <is>
          <t>excluded</t>
        </is>
      </c>
      <c r="G296" t="inlineStr">
        <is>
          <t>Docs outstanding: Proof of service on defendant; Rule 3129.2 notice of sale / affidavit of service</t>
        </is>
      </c>
      <c r="H296" t="n">
        <v>8792.4</v>
      </c>
      <c r="I296" t="inlineStr"/>
    </row>
    <row r="297">
      <c r="A297" t="inlineStr">
        <is>
          <t>21NOV26</t>
        </is>
      </c>
      <c r="B297" t="inlineStr">
        <is>
          <t>MG-22-000697</t>
        </is>
      </c>
      <c r="C297" t="inlineStr">
        <is>
          <t>1569 Summerdale St ; Margaret Street</t>
        </is>
      </c>
      <c r="D297" t="inlineStr">
        <is>
          <t>Pittsburgh</t>
        </is>
      </c>
      <c r="E297" t="inlineStr">
        <is>
          <t>Active</t>
        </is>
      </c>
      <c r="F297" t="inlineStr">
        <is>
          <t>ok</t>
        </is>
      </c>
      <c r="G297" t="inlineStr">
        <is>
          <t>Sheriff OK box checked</t>
        </is>
      </c>
      <c r="H297" t="n">
        <v>8628.91</v>
      </c>
      <c r="I297" t="inlineStr"/>
    </row>
    <row r="298">
      <c r="A298" t="inlineStr">
        <is>
          <t>22NOV26</t>
        </is>
      </c>
      <c r="B298" t="inlineStr">
        <is>
          <t>MG-24-000215</t>
        </is>
      </c>
      <c r="C298" t="inlineStr">
        <is>
          <t>1160 Alice Avenue</t>
        </is>
      </c>
      <c r="D298" t="inlineStr">
        <is>
          <t>Jefferson Hills</t>
        </is>
      </c>
      <c r="E298" t="inlineStr">
        <is>
          <t>Active</t>
        </is>
      </c>
      <c r="F298" t="inlineStr">
        <is>
          <t>excluded</t>
        </is>
      </c>
      <c r="G298" t="inlineStr">
        <is>
          <t>Docs outstanding: Proof of service on defendants; Rule 3129.2 notice of sale / affidavit of service</t>
        </is>
      </c>
      <c r="H298" t="n">
        <v>5477.35</v>
      </c>
      <c r="I298" t="inlineStr"/>
    </row>
    <row r="299">
      <c r="A299" t="inlineStr">
        <is>
          <t>23NOV26</t>
        </is>
      </c>
      <c r="B299" t="inlineStr">
        <is>
          <t>MG-24-000373</t>
        </is>
      </c>
      <c r="C299" t="inlineStr">
        <is>
          <t>10023 Frankstown Road</t>
        </is>
      </c>
      <c r="D299" t="inlineStr">
        <is>
          <t>Penn Hills</t>
        </is>
      </c>
      <c r="E299" t="inlineStr">
        <is>
          <t>Active</t>
        </is>
      </c>
      <c r="F299" t="inlineStr">
        <is>
          <t>excluded</t>
        </is>
      </c>
      <c r="G299" t="inlineStr">
        <is>
          <t>Docs outstanding: boxes incomplete</t>
        </is>
      </c>
      <c r="H299" t="n">
        <v>5914.59</v>
      </c>
      <c r="I299" t="inlineStr"/>
    </row>
    <row r="300">
      <c r="A300" t="inlineStr">
        <is>
          <t>24NOV26</t>
        </is>
      </c>
      <c r="B300" t="inlineStr">
        <is>
          <t>GD-17-016607</t>
        </is>
      </c>
      <c r="C300" t="inlineStr">
        <is>
          <t>602 Willruth Dr</t>
        </is>
      </c>
      <c r="D300" t="inlineStr">
        <is>
          <t>Shaler</t>
        </is>
      </c>
      <c r="E300" t="inlineStr">
        <is>
          <t>Active</t>
        </is>
      </c>
      <c r="F300" t="inlineStr">
        <is>
          <t>excluded</t>
        </is>
      </c>
      <c r="G300" t="inlineStr">
        <is>
          <t>Non-residential (Commercial)</t>
        </is>
      </c>
      <c r="H300" t="n">
        <v>2178.98</v>
      </c>
      <c r="I300" t="inlineStr"/>
    </row>
    <row r="301">
      <c r="A301" t="inlineStr">
        <is>
          <t>25NOV26</t>
        </is>
      </c>
      <c r="B301" t="inlineStr">
        <is>
          <t>MG-26-000249</t>
        </is>
      </c>
      <c r="C301" t="inlineStr">
        <is>
          <t>3410 Orchard Drive</t>
        </is>
      </c>
      <c r="D301" t="inlineStr">
        <is>
          <t>Liberty</t>
        </is>
      </c>
      <c r="E301" t="inlineStr">
        <is>
          <t>Active</t>
        </is>
      </c>
      <c r="F301" t="inlineStr">
        <is>
          <t>excluded</t>
        </is>
      </c>
      <c r="G301" t="inlineStr">
        <is>
          <t>Docs outstanding: Proof of service on defendant; Rule 3129.2 notice of sale / affidavit of service</t>
        </is>
      </c>
      <c r="H301" t="n">
        <v>2595.33</v>
      </c>
      <c r="I301" t="inlineStr"/>
    </row>
    <row r="302">
      <c r="A302" t="inlineStr">
        <is>
          <t>26NOV26</t>
        </is>
      </c>
      <c r="B302" t="inlineStr">
        <is>
          <t>MG-25-000953</t>
        </is>
      </c>
      <c r="C302" t="inlineStr">
        <is>
          <t>436 Fannie Street</t>
        </is>
      </c>
      <c r="D302" t="inlineStr">
        <is>
          <t>McDonald</t>
        </is>
      </c>
      <c r="E302" t="inlineStr">
        <is>
          <t>Active</t>
        </is>
      </c>
      <c r="F302" t="inlineStr">
        <is>
          <t>excluded</t>
        </is>
      </c>
      <c r="G302" t="inlineStr">
        <is>
          <t>Docs outstanding: Proof of service on defendant; Rule 3129.2 notice of sale / affidavit of service</t>
        </is>
      </c>
      <c r="H302" t="n">
        <v>6264.69</v>
      </c>
      <c r="I302" t="inlineStr"/>
    </row>
    <row r="303">
      <c r="A303" t="inlineStr">
        <is>
          <t>27NOV26</t>
        </is>
      </c>
      <c r="B303" t="inlineStr">
        <is>
          <t>MG-20-000102</t>
        </is>
      </c>
      <c r="C303" t="inlineStr">
        <is>
          <t>2561 Lah Rd</t>
        </is>
      </c>
      <c r="D303" t="inlineStr">
        <is>
          <t>Hampton</t>
        </is>
      </c>
      <c r="E303" t="inlineStr">
        <is>
          <t>Stayed</t>
        </is>
      </c>
      <c r="F303" t="inlineStr">
        <is>
          <t>excluded</t>
        </is>
      </c>
      <c r="G303" t="inlineStr">
        <is>
          <t>Stayed</t>
        </is>
      </c>
      <c r="H303" t="n">
        <v>6577.8</v>
      </c>
      <c r="I303" t="inlineStr"/>
    </row>
    <row r="304">
      <c r="A304" t="inlineStr">
        <is>
          <t>28NOV26</t>
        </is>
      </c>
      <c r="B304" t="inlineStr">
        <is>
          <t>MG-26-000499</t>
        </is>
      </c>
      <c r="C304" t="inlineStr">
        <is>
          <t>163 Senate Drive</t>
        </is>
      </c>
      <c r="D304" t="inlineStr">
        <is>
          <t>Pleasant Hills</t>
        </is>
      </c>
      <c r="E304" t="inlineStr">
        <is>
          <t>Stayed</t>
        </is>
      </c>
      <c r="F304" t="inlineStr">
        <is>
          <t>excluded</t>
        </is>
      </c>
      <c r="G304" t="inlineStr">
        <is>
          <t>Stayed</t>
        </is>
      </c>
      <c r="H304" t="n">
        <v>1761.06</v>
      </c>
      <c r="I304" t="inlineStr"/>
    </row>
    <row r="305">
      <c r="A305" t="inlineStr">
        <is>
          <t>29NOV26</t>
        </is>
      </c>
      <c r="B305" t="inlineStr">
        <is>
          <t>MG-25-000136</t>
        </is>
      </c>
      <c r="C305" t="inlineStr">
        <is>
          <t>636 Beverly Road</t>
        </is>
      </c>
      <c r="D305" t="inlineStr">
        <is>
          <t>Mount Lebanon</t>
        </is>
      </c>
      <c r="E305" t="inlineStr">
        <is>
          <t>Stayed</t>
        </is>
      </c>
      <c r="F305" t="inlineStr">
        <is>
          <t>excluded</t>
        </is>
      </c>
      <c r="G305" t="inlineStr">
        <is>
          <t>Stayed</t>
        </is>
      </c>
      <c r="H305" t="n">
        <v>1557.25</v>
      </c>
      <c r="I305" t="inlineStr"/>
    </row>
    <row r="306">
      <c r="A306" t="inlineStr">
        <is>
          <t>30NOV26</t>
        </is>
      </c>
      <c r="B306" t="inlineStr">
        <is>
          <t>MG-26-000438</t>
        </is>
      </c>
      <c r="C306" t="inlineStr">
        <is>
          <t>709 Pinoak Road</t>
        </is>
      </c>
      <c r="D306" t="inlineStr">
        <is>
          <t>Mount Lebanon</t>
        </is>
      </c>
      <c r="E306" t="inlineStr">
        <is>
          <t>Active</t>
        </is>
      </c>
      <c r="F306" t="inlineStr">
        <is>
          <t>ok</t>
        </is>
      </c>
      <c r="G306" t="inlineStr">
        <is>
          <t>Sheriff OK box checked</t>
        </is>
      </c>
      <c r="H306" t="n">
        <v>28596.48</v>
      </c>
      <c r="I306" t="inlineStr"/>
    </row>
    <row r="307">
      <c r="A307" t="inlineStr">
        <is>
          <t>31NOV26</t>
        </is>
      </c>
      <c r="B307" t="inlineStr">
        <is>
          <t>MG-23-000164</t>
        </is>
      </c>
      <c r="C307" t="inlineStr">
        <is>
          <t>2448 Starkamp Street</t>
        </is>
      </c>
      <c r="D307" t="inlineStr">
        <is>
          <t>Pittsburgh</t>
        </is>
      </c>
      <c r="E307" t="inlineStr">
        <is>
          <t>Postponed to 1/4/2027</t>
        </is>
      </c>
      <c r="F307" t="inlineStr">
        <is>
          <t>excluded</t>
        </is>
      </c>
      <c r="G307" t="inlineStr">
        <is>
          <t>Postponed to 1/4/2027</t>
        </is>
      </c>
      <c r="H307" t="n">
        <v>12105.15</v>
      </c>
      <c r="I307" t="inlineStr"/>
    </row>
    <row r="308">
      <c r="A308" t="inlineStr">
        <is>
          <t>32NOV26</t>
        </is>
      </c>
      <c r="B308" t="inlineStr">
        <is>
          <t>MG-25-000719</t>
        </is>
      </c>
      <c r="C308" t="inlineStr">
        <is>
          <t>304 Pappan Dr</t>
        </is>
      </c>
      <c r="D308" t="inlineStr">
        <is>
          <t>Findlay</t>
        </is>
      </c>
      <c r="E308" t="inlineStr">
        <is>
          <t>Active</t>
        </is>
      </c>
      <c r="F308" t="inlineStr">
        <is>
          <t>ok</t>
        </is>
      </c>
      <c r="G308" t="inlineStr">
        <is>
          <t>Sheriff OK box checked</t>
        </is>
      </c>
      <c r="H308" t="n">
        <v>4045.77</v>
      </c>
      <c r="I308" t="inlineStr"/>
    </row>
    <row r="309">
      <c r="A309" t="inlineStr">
        <is>
          <t>33NOV26</t>
        </is>
      </c>
      <c r="B309" t="inlineStr">
        <is>
          <t>GD-22-000172</t>
        </is>
      </c>
      <c r="C309" t="inlineStr">
        <is>
          <t>2024 A Church St ; 2024 B Church St</t>
        </is>
      </c>
      <c r="D309" t="inlineStr">
        <is>
          <t>West Deer</t>
        </is>
      </c>
      <c r="E309" t="inlineStr">
        <is>
          <t>Active</t>
        </is>
      </c>
      <c r="F309" t="inlineStr">
        <is>
          <t>excluded</t>
        </is>
      </c>
      <c r="G309" t="inlineStr">
        <is>
          <t>Docs outstanding: Proof of service on defendant</t>
        </is>
      </c>
      <c r="H309" t="n">
        <v>74588.85000000001</v>
      </c>
      <c r="I309" t="inlineStr"/>
    </row>
    <row r="310">
      <c r="A310" t="inlineStr">
        <is>
          <t>34NOV26</t>
        </is>
      </c>
      <c r="B310" t="inlineStr">
        <is>
          <t>GD-22-011463</t>
        </is>
      </c>
      <c r="C310" t="inlineStr">
        <is>
          <t>423 Hillview Street</t>
        </is>
      </c>
      <c r="D310" t="inlineStr">
        <is>
          <t>Duquesne</t>
        </is>
      </c>
      <c r="E310" t="inlineStr">
        <is>
          <t>Active</t>
        </is>
      </c>
      <c r="F310" t="inlineStr">
        <is>
          <t>ok</t>
        </is>
      </c>
      <c r="G310" t="inlineStr">
        <is>
          <t>Sheriff OK box checked</t>
        </is>
      </c>
      <c r="H310" t="n">
        <v>57324.9</v>
      </c>
      <c r="I310" t="inlineStr"/>
    </row>
    <row r="311">
      <c r="A311" t="inlineStr">
        <is>
          <t>35NOV26</t>
        </is>
      </c>
      <c r="B311" t="inlineStr">
        <is>
          <t>MG-26-000100</t>
        </is>
      </c>
      <c r="C311" t="inlineStr">
        <is>
          <t>871 Valleyview Road</t>
        </is>
      </c>
      <c r="D311" t="inlineStr">
        <is>
          <t>Mount Lebanon</t>
        </is>
      </c>
      <c r="E311" t="inlineStr">
        <is>
          <t>Active</t>
        </is>
      </c>
      <c r="F311" t="inlineStr">
        <is>
          <t>ok</t>
        </is>
      </c>
      <c r="G311" t="inlineStr">
        <is>
          <t>Sheriff OK box checked</t>
        </is>
      </c>
      <c r="H311" t="n">
        <v>20635.04</v>
      </c>
      <c r="I311" t="inlineStr"/>
    </row>
    <row r="312">
      <c r="A312" t="inlineStr">
        <is>
          <t>36NOV26</t>
        </is>
      </c>
      <c r="B312" t="inlineStr">
        <is>
          <t>MS-26-001282</t>
        </is>
      </c>
      <c r="C312" t="inlineStr">
        <is>
          <t>6036 Middlefield Dr</t>
        </is>
      </c>
      <c r="D312" t="inlineStr">
        <is>
          <t>South Fayette</t>
        </is>
      </c>
      <c r="E312" t="inlineStr">
        <is>
          <t>Stayed</t>
        </is>
      </c>
      <c r="F312" t="inlineStr">
        <is>
          <t>excluded</t>
        </is>
      </c>
      <c r="G312" t="inlineStr">
        <is>
          <t>Stayed</t>
        </is>
      </c>
      <c r="H312" t="n">
        <v>1020.69</v>
      </c>
      <c r="I312" t="inlineStr"/>
    </row>
    <row r="313">
      <c r="A313" t="inlineStr">
        <is>
          <t>37NOV26</t>
        </is>
      </c>
      <c r="B313" t="inlineStr">
        <is>
          <t>GD-21-005686</t>
        </is>
      </c>
      <c r="C313" t="inlineStr">
        <is>
          <t>1202 Margaret St</t>
        </is>
      </c>
      <c r="D313" t="inlineStr">
        <is>
          <t>Munhall</t>
        </is>
      </c>
      <c r="E313" t="inlineStr">
        <is>
          <t>Postponed to 12/7/2026</t>
        </is>
      </c>
      <c r="F313" t="inlineStr">
        <is>
          <t>excluded</t>
        </is>
      </c>
      <c r="G313" t="inlineStr">
        <is>
          <t>Postponed to 12/7/2026</t>
        </is>
      </c>
      <c r="H313" t="n">
        <v>33658.02</v>
      </c>
      <c r="I313" t="inlineStr"/>
    </row>
    <row r="314">
      <c r="A314" t="inlineStr">
        <is>
          <t>38NOV26</t>
        </is>
      </c>
      <c r="B314" t="inlineStr">
        <is>
          <t>GD-22-003059</t>
        </is>
      </c>
      <c r="C314" t="inlineStr">
        <is>
          <t>1307-1309 Montier St</t>
        </is>
      </c>
      <c r="D314" t="inlineStr">
        <is>
          <t>Wilkinsburg</t>
        </is>
      </c>
      <c r="E314" t="inlineStr">
        <is>
          <t>Postponed to 12/7/2026</t>
        </is>
      </c>
      <c r="F314" t="inlineStr">
        <is>
          <t>excluded</t>
        </is>
      </c>
      <c r="G314" t="inlineStr">
        <is>
          <t>Postponed to 12/7/2026</t>
        </is>
      </c>
      <c r="H314" t="n">
        <v>11236.41</v>
      </c>
      <c r="I314" t="inlineStr"/>
    </row>
    <row r="315">
      <c r="A315" t="inlineStr">
        <is>
          <t>39NOV26</t>
        </is>
      </c>
      <c r="B315" t="inlineStr">
        <is>
          <t>GD-26-000611</t>
        </is>
      </c>
      <c r="C315" t="inlineStr">
        <is>
          <t>265 Carlton Drive</t>
        </is>
      </c>
      <c r="D315" t="inlineStr">
        <is>
          <t>Penn Hills</t>
        </is>
      </c>
      <c r="E315" t="inlineStr">
        <is>
          <t>Postponed to 12/7/2026</t>
        </is>
      </c>
      <c r="F315" t="inlineStr">
        <is>
          <t>excluded</t>
        </is>
      </c>
      <c r="G315" t="inlineStr">
        <is>
          <t>Postponed to 12/7/2026</t>
        </is>
      </c>
      <c r="H315" t="n">
        <v>4683.17</v>
      </c>
      <c r="I315" t="inlineStr"/>
    </row>
    <row r="316">
      <c r="A316" t="inlineStr">
        <is>
          <t>40NOV26</t>
        </is>
      </c>
      <c r="B316" t="inlineStr">
        <is>
          <t>GD-25-010219</t>
        </is>
      </c>
      <c r="C316" t="inlineStr">
        <is>
          <t>713 Elm St</t>
        </is>
      </c>
      <c r="D316" t="inlineStr">
        <is>
          <t>Liberty</t>
        </is>
      </c>
      <c r="E316" t="inlineStr">
        <is>
          <t>Active</t>
        </is>
      </c>
      <c r="F316" t="inlineStr">
        <is>
          <t>excluded</t>
        </is>
      </c>
      <c r="G316" t="inlineStr">
        <is>
          <t>Docs outstanding: Rule 3129.2 notice of sale / affidavit of service; Proof of mailing/posting: need proof of mailing on def, need 3129.2</t>
        </is>
      </c>
      <c r="H316" t="n">
        <v>13070.19</v>
      </c>
      <c r="I316" t="inlineStr"/>
    </row>
    <row r="317">
      <c r="A317" t="inlineStr">
        <is>
          <t>41NOV26</t>
        </is>
      </c>
      <c r="B317" t="inlineStr">
        <is>
          <t>GD-25-003880</t>
        </is>
      </c>
      <c r="C317" t="inlineStr">
        <is>
          <t>391 Gloria St</t>
        </is>
      </c>
      <c r="D317" t="inlineStr">
        <is>
          <t>McCandless</t>
        </is>
      </c>
      <c r="E317" t="inlineStr">
        <is>
          <t>Active</t>
        </is>
      </c>
      <c r="F317" t="inlineStr">
        <is>
          <t>excluded</t>
        </is>
      </c>
      <c r="G317" t="inlineStr">
        <is>
          <t>Docs outstanding: Rule 3129.2 notice of sale / affidavit of service; Proof of mailing/posting: need proof of mailing on def, need 3129.2</t>
        </is>
      </c>
      <c r="H317" t="n">
        <v>12959.04</v>
      </c>
      <c r="I317" t="inlineStr"/>
    </row>
    <row r="318">
      <c r="A318" t="inlineStr">
        <is>
          <t>42NOV26</t>
        </is>
      </c>
      <c r="B318" t="inlineStr">
        <is>
          <t>GD-22-002945</t>
        </is>
      </c>
      <c r="C318" t="inlineStr">
        <is>
          <t>329 West St</t>
        </is>
      </c>
      <c r="D318" t="inlineStr">
        <is>
          <t>Wilkinsburg</t>
        </is>
      </c>
      <c r="E318" t="inlineStr">
        <is>
          <t>Postponed to 12/7/2026</t>
        </is>
      </c>
      <c r="F318" t="inlineStr">
        <is>
          <t>excluded</t>
        </is>
      </c>
      <c r="G318" t="inlineStr">
        <is>
          <t>Postponed to 12/7/2026</t>
        </is>
      </c>
      <c r="H318" t="n">
        <v>4095.59</v>
      </c>
      <c r="I318" t="inlineStr"/>
    </row>
    <row r="319">
      <c r="A319" t="inlineStr">
        <is>
          <t>43NOV26</t>
        </is>
      </c>
      <c r="B319" t="inlineStr">
        <is>
          <t>GD-25-008318</t>
        </is>
      </c>
      <c r="C319" t="inlineStr">
        <is>
          <t>10989 Frankstown Road</t>
        </is>
      </c>
      <c r="D319" t="inlineStr">
        <is>
          <t>Penn Hills</t>
        </is>
      </c>
      <c r="E319" t="inlineStr">
        <is>
          <t>Postponed to 2/1/2027</t>
        </is>
      </c>
      <c r="F319" t="inlineStr">
        <is>
          <t>excluded</t>
        </is>
      </c>
      <c r="G319" t="inlineStr">
        <is>
          <t>Postponed to 2/1/2027</t>
        </is>
      </c>
      <c r="H319" t="n">
        <v>18410.52</v>
      </c>
      <c r="I319" t="inlineStr"/>
    </row>
    <row r="320">
      <c r="A320" t="inlineStr">
        <is>
          <t>44NOV26</t>
        </is>
      </c>
      <c r="B320" t="inlineStr">
        <is>
          <t>MG-25-001073</t>
        </is>
      </c>
      <c r="C320" t="inlineStr">
        <is>
          <t>801 Brinton Ave</t>
        </is>
      </c>
      <c r="D320" t="inlineStr">
        <is>
          <t>Pitcairn</t>
        </is>
      </c>
      <c r="E320" t="inlineStr">
        <is>
          <t>Active</t>
        </is>
      </c>
      <c r="F320" t="inlineStr">
        <is>
          <t>ok</t>
        </is>
      </c>
      <c r="G320" t="inlineStr">
        <is>
          <t>Sheriff OK box checked</t>
        </is>
      </c>
      <c r="H320" t="n">
        <v>3555.7</v>
      </c>
      <c r="I320" t="inlineStr">
        <is>
          <t>FHA-insured loan</t>
        </is>
      </c>
    </row>
    <row r="321">
      <c r="A321" t="inlineStr">
        <is>
          <t>45NOV26</t>
        </is>
      </c>
      <c r="B321" t="inlineStr">
        <is>
          <t>MG-26-000521</t>
        </is>
      </c>
      <c r="C321" t="inlineStr">
        <is>
          <t>984 Willow Glen Dr</t>
        </is>
      </c>
      <c r="D321" t="inlineStr">
        <is>
          <t>Bethel Park</t>
        </is>
      </c>
      <c r="E321" t="inlineStr">
        <is>
          <t>Stayed</t>
        </is>
      </c>
      <c r="F321" t="inlineStr">
        <is>
          <t>excluded</t>
        </is>
      </c>
      <c r="G321" t="inlineStr">
        <is>
          <t>Stayed</t>
        </is>
      </c>
      <c r="H321" t="n">
        <v>1105.75</v>
      </c>
      <c r="I321" t="inlineStr">
        <is>
          <t>FHA-insured loan</t>
        </is>
      </c>
    </row>
    <row r="322">
      <c r="A322" t="inlineStr">
        <is>
          <t>46NOV26</t>
        </is>
      </c>
      <c r="B322" t="inlineStr">
        <is>
          <t>MG-25-000058</t>
        </is>
      </c>
      <c r="C322" t="inlineStr">
        <is>
          <t>1206 Dallas Ave</t>
        </is>
      </c>
      <c r="D322" t="inlineStr">
        <is>
          <t>Harrison</t>
        </is>
      </c>
      <c r="E322" t="inlineStr">
        <is>
          <t>Postponed to 12/7/2026</t>
        </is>
      </c>
      <c r="F322" t="inlineStr">
        <is>
          <t>excluded</t>
        </is>
      </c>
      <c r="G322" t="inlineStr">
        <is>
          <t>Postponed to 12/7/2026</t>
        </is>
      </c>
      <c r="H322" t="n">
        <v>1768.67</v>
      </c>
      <c r="I322" t="inlineStr"/>
    </row>
    <row r="323">
      <c r="A323" t="inlineStr">
        <is>
          <t>47NOV26</t>
        </is>
      </c>
      <c r="B323" t="inlineStr">
        <is>
          <t>MG-26-000436</t>
        </is>
      </c>
      <c r="C323" t="inlineStr">
        <is>
          <t>1208 Bickerton Dr</t>
        </is>
      </c>
      <c r="D323" t="inlineStr">
        <is>
          <t>Clairton</t>
        </is>
      </c>
      <c r="E323" t="inlineStr">
        <is>
          <t>(Waived) to 2/1/2027</t>
        </is>
      </c>
      <c r="F323" t="inlineStr">
        <is>
          <t>excluded</t>
        </is>
      </c>
      <c r="G323" t="inlineStr">
        <is>
          <t>(Waived) to 2/1/2027</t>
        </is>
      </c>
      <c r="H323" t="n">
        <v>6558.82</v>
      </c>
      <c r="I323" t="inlineStr"/>
    </row>
    <row r="324">
      <c r="A324" t="inlineStr">
        <is>
          <t>48NOV26</t>
        </is>
      </c>
      <c r="B324" t="inlineStr">
        <is>
          <t>GD-26-004532</t>
        </is>
      </c>
      <c r="C324" t="inlineStr">
        <is>
          <t>1509 Pennsylvania Avenue</t>
        </is>
      </c>
      <c r="D324" t="inlineStr">
        <is>
          <t>West Mifflin</t>
        </is>
      </c>
      <c r="E324" t="inlineStr">
        <is>
          <t>Active</t>
        </is>
      </c>
      <c r="F324" t="inlineStr">
        <is>
          <t>ok</t>
        </is>
      </c>
      <c r="G324" t="inlineStr">
        <is>
          <t>Sheriff OK box checked</t>
        </is>
      </c>
      <c r="H324" t="n">
        <v>2167.19</v>
      </c>
      <c r="I324" t="inlineStr"/>
    </row>
    <row r="325">
      <c r="A325" t="inlineStr">
        <is>
          <t>49NOV26</t>
        </is>
      </c>
      <c r="B325" t="inlineStr">
        <is>
          <t>MG-26-000215</t>
        </is>
      </c>
      <c r="C325" t="inlineStr">
        <is>
          <t>333 Thomas St</t>
        </is>
      </c>
      <c r="D325" t="inlineStr">
        <is>
          <t>Carnegie</t>
        </is>
      </c>
      <c r="E325" t="inlineStr">
        <is>
          <t>Active</t>
        </is>
      </c>
      <c r="F325" t="inlineStr">
        <is>
          <t>ok</t>
        </is>
      </c>
      <c r="G325" t="inlineStr">
        <is>
          <t>Sheriff OK box checked</t>
        </is>
      </c>
      <c r="H325" t="n">
        <v>3718.93</v>
      </c>
      <c r="I325" t="inlineStr"/>
    </row>
    <row r="326">
      <c r="A326" t="inlineStr">
        <is>
          <t>50NOV26</t>
        </is>
      </c>
      <c r="B326" t="inlineStr">
        <is>
          <t>MG-18-000394</t>
        </is>
      </c>
      <c r="C326" t="inlineStr">
        <is>
          <t>4320 Stanley St</t>
        </is>
      </c>
      <c r="D326" t="inlineStr">
        <is>
          <t>Pittsburgh</t>
        </is>
      </c>
      <c r="E326" t="inlineStr">
        <is>
          <t>Active</t>
        </is>
      </c>
      <c r="F326" t="inlineStr">
        <is>
          <t>ok</t>
        </is>
      </c>
      <c r="G326" t="inlineStr">
        <is>
          <t>Sheriff OK box checked</t>
        </is>
      </c>
      <c r="H326" t="n">
        <v>7901.24</v>
      </c>
      <c r="I326" t="inlineStr"/>
    </row>
    <row r="327">
      <c r="A327" t="inlineStr">
        <is>
          <t>51NOV26</t>
        </is>
      </c>
      <c r="B327" t="inlineStr">
        <is>
          <t>MG-25-000892</t>
        </is>
      </c>
      <c r="C327" t="inlineStr">
        <is>
          <t>5630 Jackson Street</t>
        </is>
      </c>
      <c r="D327" t="inlineStr">
        <is>
          <t>Pittsburgh</t>
        </is>
      </c>
      <c r="E327" t="inlineStr">
        <is>
          <t>Active</t>
        </is>
      </c>
      <c r="F327" t="inlineStr">
        <is>
          <t>excluded</t>
        </is>
      </c>
      <c r="G327" t="inlineStr">
        <is>
          <t>Docs outstanding: Rule 3129.2 notice of sale / affidavit of service</t>
        </is>
      </c>
      <c r="H327" t="n">
        <v>5411.36</v>
      </c>
      <c r="I327" t="inlineStr">
        <is>
          <t>FHA-insured loan</t>
        </is>
      </c>
    </row>
    <row r="328">
      <c r="A328" t="inlineStr">
        <is>
          <t>52NOV26</t>
        </is>
      </c>
      <c r="B328" t="inlineStr">
        <is>
          <t>GD-24-002871</t>
        </is>
      </c>
      <c r="C328" t="inlineStr">
        <is>
          <t>153 Woodridge Drive</t>
        </is>
      </c>
      <c r="D328" t="inlineStr">
        <is>
          <t>Scott</t>
        </is>
      </c>
      <c r="E328" t="inlineStr">
        <is>
          <t>Active</t>
        </is>
      </c>
      <c r="F328" t="inlineStr">
        <is>
          <t>excluded</t>
        </is>
      </c>
      <c r="G328" t="inlineStr">
        <is>
          <t>Docs outstanding: Rule 3129.2 notice of sale / affidavit of service; Proof of mailing/posting: need proof of mailing on def, need 3129.2</t>
        </is>
      </c>
      <c r="H328" t="n">
        <v>15044.83</v>
      </c>
      <c r="I328" t="inlineStr"/>
    </row>
    <row r="329">
      <c r="A329" t="inlineStr">
        <is>
          <t>53NOV26</t>
        </is>
      </c>
      <c r="B329" t="inlineStr">
        <is>
          <t>GD-23-008677</t>
        </is>
      </c>
      <c r="C329" t="inlineStr">
        <is>
          <t>802 Jersey St</t>
        </is>
      </c>
      <c r="D329" t="inlineStr">
        <is>
          <t>Liberty</t>
        </is>
      </c>
      <c r="E329" t="inlineStr">
        <is>
          <t>Active</t>
        </is>
      </c>
      <c r="F329" t="inlineStr">
        <is>
          <t>excluded</t>
        </is>
      </c>
      <c r="G329" t="inlineStr">
        <is>
          <t>Docs outstanding: Rule 3129.2 notice of sale / affidavit of service; Proof of mailing/posting: need proof of mailing on def, need 3129.2</t>
        </is>
      </c>
      <c r="H329" t="n">
        <v>22466.18</v>
      </c>
      <c r="I329" t="inlineStr"/>
    </row>
    <row r="330">
      <c r="A330" t="inlineStr">
        <is>
          <t>54NOV26</t>
        </is>
      </c>
      <c r="B330" t="inlineStr">
        <is>
          <t>GD-23-003315</t>
        </is>
      </c>
      <c r="C330" t="inlineStr">
        <is>
          <t>808 Jersey St</t>
        </is>
      </c>
      <c r="D330" t="inlineStr">
        <is>
          <t>Liberty</t>
        </is>
      </c>
      <c r="E330" t="inlineStr">
        <is>
          <t>Active</t>
        </is>
      </c>
      <c r="F330" t="inlineStr">
        <is>
          <t>excluded</t>
        </is>
      </c>
      <c r="G330" t="inlineStr">
        <is>
          <t>Docs outstanding: Rule 3129.2 notice of sale / affidavit of service; Proof of mailing/posting: need proof of mailing on def, need 3129.2</t>
        </is>
      </c>
      <c r="H330" t="n">
        <v>27975.36</v>
      </c>
      <c r="I330" t="inlineStr"/>
    </row>
    <row r="331">
      <c r="A331" t="inlineStr">
        <is>
          <t>55NOV26</t>
        </is>
      </c>
      <c r="B331" t="inlineStr">
        <is>
          <t>GD-23-000983</t>
        </is>
      </c>
      <c r="C331" t="inlineStr">
        <is>
          <t>1146 N Wheeler Dr</t>
        </is>
      </c>
      <c r="D331" t="inlineStr">
        <is>
          <t>Penn Hills</t>
        </is>
      </c>
      <c r="E331" t="inlineStr">
        <is>
          <t>Postponed to 2/1/2027</t>
        </is>
      </c>
      <c r="F331" t="inlineStr">
        <is>
          <t>excluded</t>
        </is>
      </c>
      <c r="G331" t="inlineStr">
        <is>
          <t>Postponed to 2/1/2027</t>
        </is>
      </c>
      <c r="H331" t="n">
        <v>4645.5</v>
      </c>
      <c r="I331" t="inlineStr"/>
    </row>
    <row r="332">
      <c r="A332" t="inlineStr">
        <is>
          <t>56NOV26</t>
        </is>
      </c>
      <c r="B332" t="inlineStr">
        <is>
          <t>GD-25-005909</t>
        </is>
      </c>
      <c r="C332" t="inlineStr">
        <is>
          <t>20 Plumtree Circle</t>
        </is>
      </c>
      <c r="D332" t="inlineStr">
        <is>
          <t>Scott</t>
        </is>
      </c>
      <c r="E332" t="inlineStr">
        <is>
          <t>Postponed to 12/7/2026</t>
        </is>
      </c>
      <c r="F332" t="inlineStr">
        <is>
          <t>excluded</t>
        </is>
      </c>
      <c r="G332" t="inlineStr">
        <is>
          <t>Postponed to 12/7/2026</t>
        </is>
      </c>
      <c r="H332" t="n">
        <v>17289.31</v>
      </c>
      <c r="I332" t="inlineStr"/>
    </row>
    <row r="333">
      <c r="A333" t="inlineStr">
        <is>
          <t>57NOV26</t>
        </is>
      </c>
      <c r="B333" t="inlineStr">
        <is>
          <t>MG-24-000875</t>
        </is>
      </c>
      <c r="C333" t="inlineStr">
        <is>
          <t>131 Newburn Avenue</t>
        </is>
      </c>
      <c r="D333" t="inlineStr">
        <is>
          <t>Pittsburgh</t>
        </is>
      </c>
      <c r="E333" t="inlineStr">
        <is>
          <t>Postponed to 1/4/2027</t>
        </is>
      </c>
      <c r="F333" t="inlineStr">
        <is>
          <t>excluded</t>
        </is>
      </c>
      <c r="G333" t="inlineStr">
        <is>
          <t>Postponed to 1/4/2027</t>
        </is>
      </c>
      <c r="H333" t="n">
        <v>8493.540000000001</v>
      </c>
      <c r="I333" t="inlineStr"/>
    </row>
    <row r="334">
      <c r="A334" t="inlineStr">
        <is>
          <t>58NOV26</t>
        </is>
      </c>
      <c r="B334" t="inlineStr">
        <is>
          <t>MG-26-000405</t>
        </is>
      </c>
      <c r="C334" t="inlineStr">
        <is>
          <t>3125 Ashlyn St</t>
        </is>
      </c>
      <c r="D334" t="inlineStr">
        <is>
          <t>Pittsburgh</t>
        </is>
      </c>
      <c r="E334" t="inlineStr">
        <is>
          <t>Active</t>
        </is>
      </c>
      <c r="F334" t="inlineStr">
        <is>
          <t>ok</t>
        </is>
      </c>
      <c r="G334" t="inlineStr">
        <is>
          <t>Sheriff OK box checked</t>
        </is>
      </c>
      <c r="H334" t="n">
        <v>1867.12</v>
      </c>
      <c r="I334" t="inlineStr"/>
    </row>
    <row r="335">
      <c r="A335" t="inlineStr">
        <is>
          <t>59NOV26</t>
        </is>
      </c>
      <c r="B335" t="inlineStr">
        <is>
          <t>GD-24-013994</t>
        </is>
      </c>
      <c r="C335" t="inlineStr">
        <is>
          <t>2820 Neeld Avenue</t>
        </is>
      </c>
      <c r="D335" t="inlineStr">
        <is>
          <t>Pittsburgh</t>
        </is>
      </c>
      <c r="E335" t="inlineStr">
        <is>
          <t>Postponed to 1/4/2027</t>
        </is>
      </c>
      <c r="F335" t="inlineStr">
        <is>
          <t>excluded</t>
        </is>
      </c>
      <c r="G335" t="inlineStr">
        <is>
          <t>Postponed to 1/4/2027</t>
        </is>
      </c>
      <c r="H335" t="n">
        <v>2657.76</v>
      </c>
      <c r="I335" t="inlineStr"/>
    </row>
    <row r="336">
      <c r="A336" t="inlineStr">
        <is>
          <t>60NOV26</t>
        </is>
      </c>
      <c r="B336" t="inlineStr">
        <is>
          <t>MG-25-000322</t>
        </is>
      </c>
      <c r="C336" t="inlineStr">
        <is>
          <t>219 Richland Drive</t>
        </is>
      </c>
      <c r="D336" t="inlineStr">
        <is>
          <t>Penn Hills</t>
        </is>
      </c>
      <c r="E336" t="inlineStr">
        <is>
          <t>Active</t>
        </is>
      </c>
      <c r="F336" t="inlineStr">
        <is>
          <t>ok</t>
        </is>
      </c>
      <c r="G336" t="inlineStr">
        <is>
          <t>Sheriff OK box checked</t>
        </is>
      </c>
      <c r="H336" t="n">
        <v>1684.28</v>
      </c>
      <c r="I336" t="inlineStr"/>
    </row>
    <row r="337">
      <c r="A337" t="inlineStr">
        <is>
          <t>61NOV26</t>
        </is>
      </c>
      <c r="B337" t="inlineStr">
        <is>
          <t>MG-26-000208</t>
        </is>
      </c>
      <c r="C337" t="inlineStr">
        <is>
          <t>709 Latrobe Street Street</t>
        </is>
      </c>
      <c r="D337" t="inlineStr">
        <is>
          <t>McKees Rocks</t>
        </is>
      </c>
      <c r="E337" t="inlineStr">
        <is>
          <t>Active</t>
        </is>
      </c>
      <c r="F337" t="inlineStr">
        <is>
          <t>ok</t>
        </is>
      </c>
      <c r="G337" t="inlineStr">
        <is>
          <t>Sheriff OK box checked</t>
        </is>
      </c>
      <c r="H337" t="n">
        <v>1889.3</v>
      </c>
      <c r="I337" t="inlineStr"/>
    </row>
    <row r="338">
      <c r="A338" t="inlineStr">
        <is>
          <t>62NOV26</t>
        </is>
      </c>
      <c r="B338" t="inlineStr">
        <is>
          <t>MG-26-000557</t>
        </is>
      </c>
      <c r="C338" t="inlineStr">
        <is>
          <t>109 Eileen Drive</t>
        </is>
      </c>
      <c r="D338" t="inlineStr">
        <is>
          <t>Baldwin Boro</t>
        </is>
      </c>
      <c r="E338" t="inlineStr">
        <is>
          <t>Active</t>
        </is>
      </c>
      <c r="F338" t="inlineStr">
        <is>
          <t>excluded</t>
        </is>
      </c>
      <c r="G338" t="inlineStr">
        <is>
          <t>Docs outstanding: Proof of service on defendants; Rule 3129.2 notice of sale / affidavit of service</t>
        </is>
      </c>
      <c r="H338" t="n">
        <v>2505.27</v>
      </c>
      <c r="I338" t="inlineStr"/>
    </row>
    <row r="339">
      <c r="A339" t="inlineStr">
        <is>
          <t>63NOV26</t>
        </is>
      </c>
      <c r="B339" t="inlineStr">
        <is>
          <t>MG-25-001093</t>
        </is>
      </c>
      <c r="C339" t="inlineStr">
        <is>
          <t>1226 Denisonview Street ; Denisonview Street</t>
        </is>
      </c>
      <c r="D339" t="inlineStr">
        <is>
          <t>Pittsburgh</t>
        </is>
      </c>
      <c r="E339" t="inlineStr">
        <is>
          <t>Active</t>
        </is>
      </c>
      <c r="F339" t="inlineStr">
        <is>
          <t>ok</t>
        </is>
      </c>
      <c r="G339" t="inlineStr">
        <is>
          <t>Sheriff OK box checked</t>
        </is>
      </c>
      <c r="H339" t="n">
        <v>3451.97</v>
      </c>
      <c r="I339" t="inlineStr"/>
    </row>
    <row r="340">
      <c r="A340" t="inlineStr">
        <is>
          <t>64NOV26</t>
        </is>
      </c>
      <c r="B340" t="inlineStr">
        <is>
          <t>MG-26-000083</t>
        </is>
      </c>
      <c r="C340" t="inlineStr">
        <is>
          <t>213 Comrie Avenue</t>
        </is>
      </c>
      <c r="D340" t="inlineStr">
        <is>
          <t>Braddock</t>
        </is>
      </c>
      <c r="E340" t="inlineStr">
        <is>
          <t>Active</t>
        </is>
      </c>
      <c r="F340" t="inlineStr">
        <is>
          <t>ok</t>
        </is>
      </c>
      <c r="G340" t="inlineStr">
        <is>
          <t>Sheriff OK box checked</t>
        </is>
      </c>
      <c r="H340" t="n">
        <v>2108.6</v>
      </c>
      <c r="I340" t="inlineStr"/>
    </row>
    <row r="341">
      <c r="A341" t="inlineStr">
        <is>
          <t>65NOV26</t>
        </is>
      </c>
      <c r="B341" t="inlineStr">
        <is>
          <t>MG-23-000857</t>
        </is>
      </c>
      <c r="C341" t="inlineStr">
        <is>
          <t>1347 5th Ave</t>
        </is>
      </c>
      <c r="D341" t="inlineStr">
        <is>
          <t>Coraopolis</t>
        </is>
      </c>
      <c r="E341" t="inlineStr">
        <is>
          <t>(Waived) to 1/4/2027</t>
        </is>
      </c>
      <c r="F341" t="inlineStr">
        <is>
          <t>excluded</t>
        </is>
      </c>
      <c r="G341" t="inlineStr">
        <is>
          <t>(Waived) to 1/4/2027</t>
        </is>
      </c>
      <c r="H341" t="n">
        <v>7169.85</v>
      </c>
      <c r="I341" t="inlineStr"/>
    </row>
    <row r="342">
      <c r="A342" t="inlineStr">
        <is>
          <t>66NOV26</t>
        </is>
      </c>
      <c r="B342" t="inlineStr">
        <is>
          <t>GD-26-005585</t>
        </is>
      </c>
      <c r="C342" t="inlineStr">
        <is>
          <t>1114 Jane St</t>
        </is>
      </c>
      <c r="D342" t="inlineStr">
        <is>
          <t>Wilkinsburg</t>
        </is>
      </c>
      <c r="E342" t="inlineStr">
        <is>
          <t>Active</t>
        </is>
      </c>
      <c r="F342" t="inlineStr">
        <is>
          <t>ok</t>
        </is>
      </c>
      <c r="G342" t="inlineStr">
        <is>
          <t>Sheriff OK box checked</t>
        </is>
      </c>
      <c r="H342" t="n">
        <v>2522.91</v>
      </c>
      <c r="I342" t="inlineStr"/>
    </row>
    <row r="343">
      <c r="A343" t="inlineStr">
        <is>
          <t>67NOV26</t>
        </is>
      </c>
      <c r="B343" t="inlineStr">
        <is>
          <t>MG-26-000018</t>
        </is>
      </c>
      <c r="C343" t="inlineStr">
        <is>
          <t>2203 Duncan Avenue</t>
        </is>
      </c>
      <c r="D343" t="inlineStr">
        <is>
          <t>Hampton</t>
        </is>
      </c>
      <c r="E343" t="inlineStr">
        <is>
          <t>Postponed to 12/7/2026</t>
        </is>
      </c>
      <c r="F343" t="inlineStr">
        <is>
          <t>excluded</t>
        </is>
      </c>
      <c r="G343" t="inlineStr">
        <is>
          <t>Postponed to 12/7/2026</t>
        </is>
      </c>
      <c r="H343" t="n">
        <v>3211.32</v>
      </c>
      <c r="I343" t="inlineStr"/>
    </row>
    <row r="344">
      <c r="A344" t="inlineStr">
        <is>
          <t>68NOV26</t>
        </is>
      </c>
      <c r="B344" t="inlineStr">
        <is>
          <t>MG-26-000269</t>
        </is>
      </c>
      <c r="C344" t="inlineStr">
        <is>
          <t>6612 Jackson Street</t>
        </is>
      </c>
      <c r="D344" t="inlineStr">
        <is>
          <t>Pittsburgh</t>
        </is>
      </c>
      <c r="E344" t="inlineStr">
        <is>
          <t>Active</t>
        </is>
      </c>
      <c r="F344" t="inlineStr">
        <is>
          <t>excluded</t>
        </is>
      </c>
      <c r="G344" t="inlineStr">
        <is>
          <t>Docs outstanding: Proof of service on defendants; Rule 3129.2 notice of sale / affidavit of service</t>
        </is>
      </c>
      <c r="H344" t="n">
        <v>2860.25</v>
      </c>
      <c r="I344" t="inlineStr"/>
    </row>
    <row r="345">
      <c r="A345" t="inlineStr">
        <is>
          <t>69NOV26</t>
        </is>
      </c>
      <c r="B345" t="inlineStr">
        <is>
          <t>GD-25-005119</t>
        </is>
      </c>
      <c r="C345" t="inlineStr">
        <is>
          <t>711 Ohio River Boulevard</t>
        </is>
      </c>
      <c r="D345" t="inlineStr">
        <is>
          <t>Avalon</t>
        </is>
      </c>
      <c r="E345" t="inlineStr">
        <is>
          <t>Active</t>
        </is>
      </c>
      <c r="F345" t="inlineStr">
        <is>
          <t>excluded</t>
        </is>
      </c>
      <c r="G345" t="inlineStr">
        <is>
          <t>Handbill / short-description defect – Sheriff says sale must be postponed</t>
        </is>
      </c>
      <c r="H345" t="n">
        <v>8682.85</v>
      </c>
      <c r="I345" t="inlineStr"/>
    </row>
    <row r="346">
      <c r="A346" t="inlineStr">
        <is>
          <t>70NOV26</t>
        </is>
      </c>
      <c r="B346" t="inlineStr">
        <is>
          <t>MG-26-000264</t>
        </is>
      </c>
      <c r="C346" t="inlineStr">
        <is>
          <t>1902 Johnson Street</t>
        </is>
      </c>
      <c r="D346" t="inlineStr">
        <is>
          <t>North Braddock</t>
        </is>
      </c>
      <c r="E346" t="inlineStr">
        <is>
          <t>Postponed to 1/4/2027</t>
        </is>
      </c>
      <c r="F346" t="inlineStr">
        <is>
          <t>excluded</t>
        </is>
      </c>
      <c r="G346" t="inlineStr">
        <is>
          <t>Postponed to 1/4/2027</t>
        </is>
      </c>
      <c r="H346" t="n">
        <v>2309.54</v>
      </c>
      <c r="I346" t="inlineStr"/>
    </row>
    <row r="347">
      <c r="A347" t="inlineStr">
        <is>
          <t>71NOV26</t>
        </is>
      </c>
      <c r="B347" t="inlineStr">
        <is>
          <t>MG-26-000179</t>
        </is>
      </c>
      <c r="C347" t="inlineStr">
        <is>
          <t>207 Fordyce Street</t>
        </is>
      </c>
      <c r="D347" t="inlineStr">
        <is>
          <t>Pittsburgh</t>
        </is>
      </c>
      <c r="E347" t="inlineStr">
        <is>
          <t>Active</t>
        </is>
      </c>
      <c r="F347" t="inlineStr">
        <is>
          <t>ok</t>
        </is>
      </c>
      <c r="G347" t="inlineStr">
        <is>
          <t>Sheriff OK box checked</t>
        </is>
      </c>
      <c r="H347" t="n">
        <v>4133.06</v>
      </c>
      <c r="I347" t="inlineStr"/>
    </row>
    <row r="348">
      <c r="A348" t="inlineStr">
        <is>
          <t>72NOV26</t>
        </is>
      </c>
      <c r="B348" t="inlineStr">
        <is>
          <t>MG-25-000116</t>
        </is>
      </c>
      <c r="C348" t="inlineStr">
        <is>
          <t>8539 Westwood Road</t>
        </is>
      </c>
      <c r="D348" t="inlineStr">
        <is>
          <t>Penn Hills</t>
        </is>
      </c>
      <c r="E348" t="inlineStr">
        <is>
          <t>Postponed to 1/4/2027</t>
        </is>
      </c>
      <c r="F348" t="inlineStr">
        <is>
          <t>excluded</t>
        </is>
      </c>
      <c r="G348" t="inlineStr">
        <is>
          <t>Postponed to 1/4/2027</t>
        </is>
      </c>
      <c r="H348" t="n">
        <v>2826.3</v>
      </c>
      <c r="I348" t="inlineStr"/>
    </row>
    <row r="349">
      <c r="A349" t="inlineStr">
        <is>
          <t>73NOV26</t>
        </is>
      </c>
      <c r="B349" t="inlineStr">
        <is>
          <t>MG-26-000509</t>
        </is>
      </c>
      <c r="C349" t="inlineStr">
        <is>
          <t>1925 Riggs Road</t>
        </is>
      </c>
      <c r="D349" t="inlineStr">
        <is>
          <t>South Park</t>
        </is>
      </c>
      <c r="E349" t="inlineStr">
        <is>
          <t>Postponed to 12/7/2026</t>
        </is>
      </c>
      <c r="F349" t="inlineStr">
        <is>
          <t>excluded</t>
        </is>
      </c>
      <c r="G349" t="inlineStr">
        <is>
          <t>Postponed to 12/7/2026</t>
        </is>
      </c>
      <c r="H349" t="n">
        <v>2281.72</v>
      </c>
      <c r="I349" t="inlineStr"/>
    </row>
    <row r="350">
      <c r="A350" t="inlineStr">
        <is>
          <t>74NOV26</t>
        </is>
      </c>
      <c r="B350" t="inlineStr">
        <is>
          <t>MG-26-000525</t>
        </is>
      </c>
      <c r="C350" t="inlineStr">
        <is>
          <t>530 Magazine Street</t>
        </is>
      </c>
      <c r="D350" t="inlineStr">
        <is>
          <t>Scott</t>
        </is>
      </c>
      <c r="E350" t="inlineStr">
        <is>
          <t>Postponed to 1/4/2027</t>
        </is>
      </c>
      <c r="F350" t="inlineStr">
        <is>
          <t>excluded</t>
        </is>
      </c>
      <c r="G350" t="inlineStr">
        <is>
          <t>Postponed to 1/4/2027</t>
        </is>
      </c>
      <c r="H350" t="n">
        <v>3656.61</v>
      </c>
      <c r="I350" t="inlineStr"/>
    </row>
    <row r="351">
      <c r="A351" t="inlineStr">
        <is>
          <t>75NOV26</t>
        </is>
      </c>
      <c r="B351" t="inlineStr">
        <is>
          <t>GD-22-013851</t>
        </is>
      </c>
      <c r="C351" t="inlineStr">
        <is>
          <t>614 Long Road</t>
        </is>
      </c>
      <c r="D351" t="inlineStr">
        <is>
          <t>Penn Hills</t>
        </is>
      </c>
      <c r="E351" t="inlineStr">
        <is>
          <t>Active</t>
        </is>
      </c>
      <c r="F351" t="inlineStr">
        <is>
          <t>excluded</t>
        </is>
      </c>
      <c r="G351" t="inlineStr">
        <is>
          <t>Non-residential (Commercial)</t>
        </is>
      </c>
      <c r="H351" t="n">
        <v>23166.25</v>
      </c>
      <c r="I351" t="inlineStr"/>
    </row>
    <row r="352">
      <c r="A352" t="inlineStr">
        <is>
          <t>76NOV26</t>
        </is>
      </c>
      <c r="B352" t="inlineStr">
        <is>
          <t>MG-23-000860</t>
        </is>
      </c>
      <c r="C352" t="inlineStr">
        <is>
          <t>405 College Park Drive</t>
        </is>
      </c>
      <c r="D352" t="inlineStr">
        <is>
          <t>Monroeville</t>
        </is>
      </c>
      <c r="E352" t="inlineStr">
        <is>
          <t>Active</t>
        </is>
      </c>
      <c r="F352" t="inlineStr">
        <is>
          <t>ok</t>
        </is>
      </c>
      <c r="G352" t="inlineStr">
        <is>
          <t>Sheriff OK box checked</t>
        </is>
      </c>
      <c r="H352" t="n">
        <v>8495.75</v>
      </c>
      <c r="I352" t="inlineStr"/>
    </row>
    <row r="353">
      <c r="A353" t="inlineStr">
        <is>
          <t>77NOV26</t>
        </is>
      </c>
      <c r="B353" t="inlineStr">
        <is>
          <t>GD-24-010617</t>
        </is>
      </c>
      <c r="C353" t="inlineStr">
        <is>
          <t>1057 Crest Dr</t>
        </is>
      </c>
      <c r="D353" t="inlineStr">
        <is>
          <t>Crescent</t>
        </is>
      </c>
      <c r="E353" t="inlineStr">
        <is>
          <t>Active</t>
        </is>
      </c>
      <c r="F353" t="inlineStr">
        <is>
          <t>ok</t>
        </is>
      </c>
      <c r="G353" t="inlineStr">
        <is>
          <t>Sheriff OK box checked</t>
        </is>
      </c>
      <c r="H353" t="n">
        <v>130186.34</v>
      </c>
      <c r="I353" t="inlineStr"/>
    </row>
    <row r="354">
      <c r="A354" t="inlineStr">
        <is>
          <t>78NOV26</t>
        </is>
      </c>
      <c r="B354" t="inlineStr">
        <is>
          <t>GD-24-005255</t>
        </is>
      </c>
      <c r="C354" t="inlineStr">
        <is>
          <t>590 Sautter Drive</t>
        </is>
      </c>
      <c r="D354" t="inlineStr">
        <is>
          <t>Crescent</t>
        </is>
      </c>
      <c r="E354" t="inlineStr">
        <is>
          <t>Active</t>
        </is>
      </c>
      <c r="F354" t="inlineStr">
        <is>
          <t>excluded</t>
        </is>
      </c>
      <c r="G354" t="inlineStr">
        <is>
          <t>Docs outstanding: Proof of service on defendant</t>
        </is>
      </c>
      <c r="H354" t="n">
        <v>28839.82</v>
      </c>
      <c r="I354" t="inlineStr"/>
    </row>
    <row r="355">
      <c r="A355" t="inlineStr">
        <is>
          <t>79NOV26</t>
        </is>
      </c>
      <c r="B355" t="inlineStr">
        <is>
          <t>MG-24-000869</t>
        </is>
      </c>
      <c r="C355" t="inlineStr">
        <is>
          <t>2607 Cleveland Street</t>
        </is>
      </c>
      <c r="D355" t="inlineStr">
        <is>
          <t>McKeesport</t>
        </is>
      </c>
      <c r="E355" t="inlineStr">
        <is>
          <t>Postponed to 1/4/2027</t>
        </is>
      </c>
      <c r="F355" t="inlineStr">
        <is>
          <t>excluded</t>
        </is>
      </c>
      <c r="G355" t="inlineStr">
        <is>
          <t>Postponed to 1/4/2027</t>
        </is>
      </c>
      <c r="H355" t="n">
        <v>3171.95</v>
      </c>
      <c r="I355" t="inlineStr"/>
    </row>
    <row r="356">
      <c r="A356" t="inlineStr">
        <is>
          <t>80NOV26</t>
        </is>
      </c>
      <c r="B356" t="inlineStr">
        <is>
          <t>GD-25-011270</t>
        </is>
      </c>
      <c r="C356" t="inlineStr">
        <is>
          <t>944 6th Street</t>
        </is>
      </c>
      <c r="D356" t="inlineStr">
        <is>
          <t>Penn Hills</t>
        </is>
      </c>
      <c r="E356" t="inlineStr">
        <is>
          <t>Active</t>
        </is>
      </c>
      <c r="F356" t="inlineStr">
        <is>
          <t>ok</t>
        </is>
      </c>
      <c r="G356" t="inlineStr">
        <is>
          <t>Sheriff OK box checked</t>
        </is>
      </c>
      <c r="H356" t="n">
        <v>1889.3</v>
      </c>
      <c r="I356" t="inlineStr"/>
    </row>
    <row r="357">
      <c r="A357" t="inlineStr">
        <is>
          <t>81NOV26</t>
        </is>
      </c>
      <c r="B357" t="inlineStr">
        <is>
          <t>GD-26-000638</t>
        </is>
      </c>
      <c r="C357" t="inlineStr">
        <is>
          <t>160 Mount Pleasant Rd</t>
        </is>
      </c>
      <c r="D357" t="inlineStr">
        <is>
          <t>Marshall</t>
        </is>
      </c>
      <c r="E357" t="inlineStr">
        <is>
          <t>Active</t>
        </is>
      </c>
      <c r="F357" t="inlineStr">
        <is>
          <t>ok</t>
        </is>
      </c>
      <c r="G357" t="inlineStr">
        <is>
          <t>Sheriff OK box checked</t>
        </is>
      </c>
      <c r="H357" t="n">
        <v>8579.559999999999</v>
      </c>
      <c r="I357" t="inlineStr"/>
    </row>
    <row r="358">
      <c r="A358" t="inlineStr">
        <is>
          <t>82NOV26</t>
        </is>
      </c>
      <c r="B358" t="inlineStr">
        <is>
          <t>GD-26-000902</t>
        </is>
      </c>
      <c r="C358" t="inlineStr">
        <is>
          <t>4575 Mcknight Road</t>
        </is>
      </c>
      <c r="D358" t="inlineStr">
        <is>
          <t>Ross</t>
        </is>
      </c>
      <c r="E358" t="inlineStr">
        <is>
          <t>Active</t>
        </is>
      </c>
      <c r="F358" t="inlineStr">
        <is>
          <t>excluded</t>
        </is>
      </c>
      <c r="G358" t="inlineStr">
        <is>
          <t>Non-residential (Commercial)</t>
        </is>
      </c>
      <c r="H358" t="n">
        <v>56935.39</v>
      </c>
      <c r="I358" t="inlineStr"/>
    </row>
    <row r="359">
      <c r="A359" t="inlineStr">
        <is>
          <t>83NOV26</t>
        </is>
      </c>
      <c r="B359" t="inlineStr">
        <is>
          <t>GD-26-002308</t>
        </is>
      </c>
      <c r="C359" t="inlineStr">
        <is>
          <t>10424 Frankstown Road</t>
        </is>
      </c>
      <c r="D359" t="inlineStr">
        <is>
          <t>Penn Hills</t>
        </is>
      </c>
      <c r="E359" t="inlineStr">
        <is>
          <t>Active</t>
        </is>
      </c>
      <c r="F359" t="inlineStr">
        <is>
          <t>excluded</t>
        </is>
      </c>
      <c r="G359" t="inlineStr">
        <is>
          <t>Docs outstanding: boxes incomplete</t>
        </is>
      </c>
      <c r="H359" t="n">
        <v>12762.23</v>
      </c>
      <c r="I359" t="inlineStr"/>
    </row>
    <row r="360">
      <c r="A360" t="inlineStr">
        <is>
          <t>84NOV26</t>
        </is>
      </c>
      <c r="B360" t="inlineStr">
        <is>
          <t>MG-26-000365</t>
        </is>
      </c>
      <c r="C360" t="inlineStr">
        <is>
          <t>239-241 Center Avenue</t>
        </is>
      </c>
      <c r="D360" t="inlineStr">
        <is>
          <t>Elizabeth Boro</t>
        </is>
      </c>
      <c r="E360" t="inlineStr">
        <is>
          <t>Active</t>
        </is>
      </c>
      <c r="F360" t="inlineStr">
        <is>
          <t>excluded</t>
        </is>
      </c>
      <c r="G360" t="inlineStr">
        <is>
          <t>Docs outstanding: Proof of service on defendants; Rule 3129.2 notice of sale / affidavit of service</t>
        </is>
      </c>
      <c r="H360" t="n">
        <v>1951.52</v>
      </c>
      <c r="I360" t="inlineStr"/>
    </row>
    <row r="361">
      <c r="A361" t="inlineStr">
        <is>
          <t>85NOV26</t>
        </is>
      </c>
      <c r="B361" t="inlineStr">
        <is>
          <t>AR-26-001027</t>
        </is>
      </c>
      <c r="C361" t="inlineStr">
        <is>
          <t>119 Stirling Drive</t>
        </is>
      </c>
      <c r="D361" t="inlineStr">
        <is>
          <t>Plum</t>
        </is>
      </c>
      <c r="E361" t="inlineStr">
        <is>
          <t>Stayed</t>
        </is>
      </c>
      <c r="F361" t="inlineStr">
        <is>
          <t>excluded</t>
        </is>
      </c>
      <c r="G361" t="inlineStr">
        <is>
          <t>Stayed</t>
        </is>
      </c>
      <c r="H361" t="n">
        <v>1788</v>
      </c>
      <c r="I361" t="inlineStr">
        <is>
          <t>HOA/condo judgment sale — a first mortgage may survive the sale</t>
        </is>
      </c>
    </row>
    <row r="362">
      <c r="A362" t="inlineStr">
        <is>
          <t>86NOV26</t>
        </is>
      </c>
      <c r="B362" t="inlineStr">
        <is>
          <t>GD-24-004183</t>
        </is>
      </c>
      <c r="C362" t="inlineStr">
        <is>
          <t>521 Woodward Ave</t>
        </is>
      </c>
      <c r="D362" t="inlineStr">
        <is>
          <t>Stowe</t>
        </is>
      </c>
      <c r="E362" t="inlineStr">
        <is>
          <t>Active</t>
        </is>
      </c>
      <c r="F362" t="inlineStr">
        <is>
          <t>excluded</t>
        </is>
      </c>
      <c r="G362" t="inlineStr">
        <is>
          <t>Non-residential (Commercial)</t>
        </is>
      </c>
      <c r="H362" t="n">
        <v>68053.45</v>
      </c>
      <c r="I362" t="inlineStr"/>
    </row>
    <row r="363">
      <c r="A363" t="inlineStr">
        <is>
          <t>87NOV26</t>
        </is>
      </c>
      <c r="B363" t="inlineStr">
        <is>
          <t>GD-24-011348</t>
        </is>
      </c>
      <c r="C363" t="inlineStr">
        <is>
          <t>3302 Foster Rd</t>
        </is>
      </c>
      <c r="D363" t="inlineStr">
        <is>
          <t>White Oak</t>
        </is>
      </c>
      <c r="E363" t="inlineStr">
        <is>
          <t>Active</t>
        </is>
      </c>
      <c r="F363" t="inlineStr">
        <is>
          <t>ok</t>
        </is>
      </c>
      <c r="G363" t="inlineStr">
        <is>
          <t>Sheriff OK box checked</t>
        </is>
      </c>
      <c r="H363" t="n">
        <v>25821.43</v>
      </c>
      <c r="I363" t="inlineStr"/>
    </row>
    <row r="364">
      <c r="A364" t="inlineStr">
        <is>
          <t>88NOV26</t>
        </is>
      </c>
      <c r="B364" t="inlineStr">
        <is>
          <t>GD-23-011031</t>
        </is>
      </c>
      <c r="C364" t="inlineStr">
        <is>
          <t>207 Erie St</t>
        </is>
      </c>
      <c r="D364" t="inlineStr">
        <is>
          <t>McKeesport</t>
        </is>
      </c>
      <c r="E364" t="inlineStr">
        <is>
          <t>Active</t>
        </is>
      </c>
      <c r="F364" t="inlineStr">
        <is>
          <t>ok</t>
        </is>
      </c>
      <c r="G364" t="inlineStr">
        <is>
          <t>Sheriff OK box checked</t>
        </is>
      </c>
      <c r="H364" t="n">
        <v>24077.56</v>
      </c>
      <c r="I364" t="inlineStr"/>
    </row>
    <row r="365">
      <c r="A365" t="inlineStr">
        <is>
          <t>89NOV26</t>
        </is>
      </c>
      <c r="B365" t="inlineStr">
        <is>
          <t>GD-24-001817</t>
        </is>
      </c>
      <c r="C365" t="inlineStr">
        <is>
          <t>610 7th St</t>
        </is>
      </c>
      <c r="D365" t="inlineStr">
        <is>
          <t>Clairton</t>
        </is>
      </c>
      <c r="E365" t="inlineStr">
        <is>
          <t>Active</t>
        </is>
      </c>
      <c r="F365" t="inlineStr">
        <is>
          <t>excluded</t>
        </is>
      </c>
      <c r="G365" t="inlineStr">
        <is>
          <t>Non-residential (Commercial)</t>
        </is>
      </c>
      <c r="H365" t="n">
        <v>54681.23</v>
      </c>
      <c r="I365" t="inlineStr"/>
    </row>
    <row r="366">
      <c r="A366" t="inlineStr">
        <is>
          <t>90NOV26</t>
        </is>
      </c>
      <c r="B366" t="inlineStr">
        <is>
          <t>GD-23-006925</t>
        </is>
      </c>
      <c r="C366" t="inlineStr">
        <is>
          <t>964 Harper Road</t>
        </is>
      </c>
      <c r="D366" t="inlineStr">
        <is>
          <t>Crescent</t>
        </is>
      </c>
      <c r="E366" t="inlineStr">
        <is>
          <t>Active</t>
        </is>
      </c>
      <c r="F366" t="inlineStr">
        <is>
          <t>excluded</t>
        </is>
      </c>
      <c r="G366" t="inlineStr">
        <is>
          <t>Docs outstanding: Proof of service on defendant</t>
        </is>
      </c>
      <c r="H366" t="n">
        <v>79328</v>
      </c>
      <c r="I366" t="inlineStr"/>
    </row>
    <row r="367">
      <c r="A367" t="inlineStr">
        <is>
          <t>91NOV26</t>
        </is>
      </c>
      <c r="B367" t="inlineStr">
        <is>
          <t>GD-25-006528</t>
        </is>
      </c>
      <c r="C367" t="inlineStr">
        <is>
          <t>4048 Miller Street</t>
        </is>
      </c>
      <c r="D367" t="inlineStr">
        <is>
          <t>Wilkins</t>
        </is>
      </c>
      <c r="E367" t="inlineStr">
        <is>
          <t>Stayed</t>
        </is>
      </c>
      <c r="F367" t="inlineStr">
        <is>
          <t>excluded</t>
        </is>
      </c>
      <c r="G367" t="inlineStr">
        <is>
          <t>Stayed</t>
        </is>
      </c>
      <c r="H367" t="n">
        <v>3963.64</v>
      </c>
      <c r="I367" t="inlineStr"/>
    </row>
    <row r="368">
      <c r="A368" t="inlineStr">
        <is>
          <t>92NOV26</t>
        </is>
      </c>
      <c r="B368" t="inlineStr">
        <is>
          <t>GD-25-004770</t>
        </is>
      </c>
      <c r="C368" t="inlineStr">
        <is>
          <t>28 Victory Lane</t>
        </is>
      </c>
      <c r="D368" t="inlineStr">
        <is>
          <t>Leetsdale</t>
        </is>
      </c>
      <c r="E368" t="inlineStr">
        <is>
          <t>Active</t>
        </is>
      </c>
      <c r="F368" t="inlineStr">
        <is>
          <t>ok</t>
        </is>
      </c>
      <c r="G368" t="inlineStr">
        <is>
          <t>Sheriff OK box checked</t>
        </is>
      </c>
      <c r="H368" t="n">
        <v>11985.17</v>
      </c>
      <c r="I368" t="inlineStr"/>
    </row>
    <row r="369">
      <c r="A369" t="inlineStr">
        <is>
          <t>93NOV26</t>
        </is>
      </c>
      <c r="B369" t="inlineStr">
        <is>
          <t>GD-25-005697</t>
        </is>
      </c>
      <c r="C369" t="inlineStr">
        <is>
          <t>7241 Whipple Street</t>
        </is>
      </c>
      <c r="D369" t="inlineStr">
        <is>
          <t>Swissvale</t>
        </is>
      </c>
      <c r="E369" t="inlineStr">
        <is>
          <t>Stayed</t>
        </is>
      </c>
      <c r="F369" t="inlineStr">
        <is>
          <t>excluded</t>
        </is>
      </c>
      <c r="G369" t="inlineStr">
        <is>
          <t>Stayed</t>
        </is>
      </c>
      <c r="H369" t="n">
        <v>4869.27</v>
      </c>
      <c r="I369" t="inlineStr"/>
    </row>
    <row r="370">
      <c r="A370" t="inlineStr">
        <is>
          <t>94NOV26</t>
        </is>
      </c>
      <c r="B370" t="inlineStr">
        <is>
          <t>GD-24-011356</t>
        </is>
      </c>
      <c r="C370" t="inlineStr">
        <is>
          <t>106 6th St</t>
        </is>
      </c>
      <c r="D370" t="inlineStr">
        <is>
          <t>Turtle Creek</t>
        </is>
      </c>
      <c r="E370" t="inlineStr">
        <is>
          <t>Active</t>
        </is>
      </c>
      <c r="F370" t="inlineStr">
        <is>
          <t>ok</t>
        </is>
      </c>
      <c r="G370" t="inlineStr">
        <is>
          <t>Sheriff OK box checked</t>
        </is>
      </c>
      <c r="H370" t="n">
        <v>16567.27</v>
      </c>
      <c r="I370" t="inlineStr"/>
    </row>
    <row r="371">
      <c r="A371" t="inlineStr">
        <is>
          <t>95NOV26</t>
        </is>
      </c>
      <c r="B371" t="inlineStr">
        <is>
          <t>GD-24-011416</t>
        </is>
      </c>
      <c r="C371" t="inlineStr">
        <is>
          <t>1061 Bank Street</t>
        </is>
      </c>
      <c r="D371" t="inlineStr">
        <is>
          <t>Bridgeville</t>
        </is>
      </c>
      <c r="E371" t="inlineStr">
        <is>
          <t>Active</t>
        </is>
      </c>
      <c r="F371" t="inlineStr">
        <is>
          <t>ok</t>
        </is>
      </c>
      <c r="G371" t="inlineStr">
        <is>
          <t>Sheriff OK box checked</t>
        </is>
      </c>
      <c r="H371" t="n">
        <v>24361.38</v>
      </c>
      <c r="I371" t="inlineStr"/>
    </row>
    <row r="372">
      <c r="A372" t="inlineStr">
        <is>
          <t>96NOV26</t>
        </is>
      </c>
      <c r="B372" t="inlineStr">
        <is>
          <t>GD-25-011301</t>
        </is>
      </c>
      <c r="C372" t="inlineStr">
        <is>
          <t>2000 Canyon Drive</t>
        </is>
      </c>
      <c r="D372" t="inlineStr">
        <is>
          <t>Kennedy</t>
        </is>
      </c>
      <c r="E372" t="inlineStr">
        <is>
          <t>Stayed</t>
        </is>
      </c>
      <c r="F372" t="inlineStr">
        <is>
          <t>excluded</t>
        </is>
      </c>
      <c r="G372" t="inlineStr">
        <is>
          <t>Stayed</t>
        </is>
      </c>
      <c r="H372" t="n">
        <v>7778.55</v>
      </c>
      <c r="I372" t="inlineStr"/>
    </row>
    <row r="373">
      <c r="A373" t="inlineStr">
        <is>
          <t>97NOV26</t>
        </is>
      </c>
      <c r="B373" t="inlineStr">
        <is>
          <t>GD-21-000668</t>
        </is>
      </c>
      <c r="C373" t="inlineStr">
        <is>
          <t>215 Union Avenue</t>
        </is>
      </c>
      <c r="D373" t="inlineStr">
        <is>
          <t>Avalon</t>
        </is>
      </c>
      <c r="E373" t="inlineStr">
        <is>
          <t>Active</t>
        </is>
      </c>
      <c r="F373" t="inlineStr">
        <is>
          <t>ok</t>
        </is>
      </c>
      <c r="G373" t="inlineStr">
        <is>
          <t>Sheriff OK box checked</t>
        </is>
      </c>
      <c r="H373" t="n">
        <v>21673.25</v>
      </c>
      <c r="I373" t="inlineStr"/>
    </row>
    <row r="374">
      <c r="A374" t="inlineStr">
        <is>
          <t>98NOV26</t>
        </is>
      </c>
      <c r="B374" t="inlineStr">
        <is>
          <t>GD-25-005661</t>
        </is>
      </c>
      <c r="C374" t="inlineStr">
        <is>
          <t>2016 Monongahela Ave</t>
        </is>
      </c>
      <c r="D374" t="inlineStr">
        <is>
          <t>Swissvale</t>
        </is>
      </c>
      <c r="E374" t="inlineStr">
        <is>
          <t>Active</t>
        </is>
      </c>
      <c r="F374" t="inlineStr">
        <is>
          <t>ok</t>
        </is>
      </c>
      <c r="G374" t="inlineStr">
        <is>
          <t>Sheriff OK box checked</t>
        </is>
      </c>
      <c r="H374" t="n">
        <v>14492.45</v>
      </c>
      <c r="I374" t="inlineStr"/>
    </row>
    <row r="375">
      <c r="A375" t="inlineStr">
        <is>
          <t>99NOV26</t>
        </is>
      </c>
      <c r="B375" t="inlineStr">
        <is>
          <t>GD-24-004866</t>
        </is>
      </c>
      <c r="C375" t="inlineStr">
        <is>
          <t>1753 Wolfe Avenue</t>
        </is>
      </c>
      <c r="D375" t="inlineStr">
        <is>
          <t>North Braddock</t>
        </is>
      </c>
      <c r="E375" t="inlineStr">
        <is>
          <t>Active</t>
        </is>
      </c>
      <c r="F375" t="inlineStr">
        <is>
          <t>ok</t>
        </is>
      </c>
      <c r="G375" t="inlineStr">
        <is>
          <t>Sheriff OK box checked</t>
        </is>
      </c>
      <c r="H375" t="n">
        <v>25408.18</v>
      </c>
      <c r="I375" t="inlineStr"/>
    </row>
    <row r="376">
      <c r="A376" t="inlineStr">
        <is>
          <t>100NOV26</t>
        </is>
      </c>
      <c r="B376" t="inlineStr">
        <is>
          <t>GD-25-012140</t>
        </is>
      </c>
      <c r="C376" t="inlineStr">
        <is>
          <t>405 Clair Drive</t>
        </is>
      </c>
      <c r="D376" t="inlineStr">
        <is>
          <t>Upper St. Clair</t>
        </is>
      </c>
      <c r="E376" t="inlineStr">
        <is>
          <t>Postponed to 12/7/2026</t>
        </is>
      </c>
      <c r="F376" t="inlineStr">
        <is>
          <t>excluded</t>
        </is>
      </c>
      <c r="G376" t="inlineStr">
        <is>
          <t>Postponed to 12/7/2026</t>
        </is>
      </c>
      <c r="H376" t="n">
        <v>39258.51</v>
      </c>
      <c r="I376" t="inlineStr"/>
    </row>
    <row r="377">
      <c r="A377" t="inlineStr">
        <is>
          <t>101NOV26</t>
        </is>
      </c>
      <c r="B377" t="inlineStr">
        <is>
          <t>GD-25-006792</t>
        </is>
      </c>
      <c r="C377" t="inlineStr">
        <is>
          <t>925 Jackman Ave</t>
        </is>
      </c>
      <c r="D377" t="inlineStr">
        <is>
          <t>Avalon</t>
        </is>
      </c>
      <c r="E377" t="inlineStr">
        <is>
          <t>Active</t>
        </is>
      </c>
      <c r="F377" t="inlineStr">
        <is>
          <t>ok</t>
        </is>
      </c>
      <c r="G377" t="inlineStr">
        <is>
          <t>Sheriff OK box checked</t>
        </is>
      </c>
      <c r="H377" t="n">
        <v>136212.1</v>
      </c>
      <c r="I377" t="inlineStr"/>
    </row>
    <row r="378">
      <c r="A378" t="inlineStr">
        <is>
          <t>102NOV26</t>
        </is>
      </c>
      <c r="B378" t="inlineStr">
        <is>
          <t>GD-25-006356</t>
        </is>
      </c>
      <c r="C378" t="inlineStr">
        <is>
          <t>302 Pennsylvania Avenue</t>
        </is>
      </c>
      <c r="D378" t="inlineStr">
        <is>
          <t>Braddock Hills</t>
        </is>
      </c>
      <c r="E378" t="inlineStr">
        <is>
          <t>Stayed</t>
        </is>
      </c>
      <c r="F378" t="inlineStr">
        <is>
          <t>excluded</t>
        </is>
      </c>
      <c r="G378" t="inlineStr">
        <is>
          <t>Stayed</t>
        </is>
      </c>
      <c r="H378" t="n">
        <v>3351.57</v>
      </c>
      <c r="I378" t="inlineStr"/>
    </row>
    <row r="379">
      <c r="A379" t="inlineStr">
        <is>
          <t>103NOV26</t>
        </is>
      </c>
      <c r="B379" t="inlineStr">
        <is>
          <t>GD-24-002072</t>
        </is>
      </c>
      <c r="C379" t="inlineStr">
        <is>
          <t>637 Brown Ave</t>
        </is>
      </c>
      <c r="D379" t="inlineStr">
        <is>
          <t>Wilkins</t>
        </is>
      </c>
      <c r="E379" t="inlineStr">
        <is>
          <t>Money Made</t>
        </is>
      </c>
      <c r="F379" t="inlineStr">
        <is>
          <t>excluded</t>
        </is>
      </c>
      <c r="G379" t="inlineStr">
        <is>
          <t>Money Made</t>
        </is>
      </c>
      <c r="H379" t="n">
        <v>24573.42</v>
      </c>
      <c r="I379" t="inlineStr"/>
    </row>
    <row r="380">
      <c r="A380" t="inlineStr">
        <is>
          <t>104NOV26</t>
        </is>
      </c>
      <c r="B380" t="inlineStr">
        <is>
          <t>GD-22-007750</t>
        </is>
      </c>
      <c r="C380" t="inlineStr">
        <is>
          <t>741 Bluff Street</t>
        </is>
      </c>
      <c r="D380" t="inlineStr">
        <is>
          <t>Bridgeville</t>
        </is>
      </c>
      <c r="E380" t="inlineStr">
        <is>
          <t>Active</t>
        </is>
      </c>
      <c r="F380" t="inlineStr">
        <is>
          <t>ok</t>
        </is>
      </c>
      <c r="G380" t="inlineStr">
        <is>
          <t>Sheriff OK box checked</t>
        </is>
      </c>
      <c r="H380" t="n">
        <v>17246.19</v>
      </c>
      <c r="I380" t="inlineStr"/>
    </row>
    <row r="381">
      <c r="A381" t="inlineStr">
        <is>
          <t>105NOV26</t>
        </is>
      </c>
      <c r="B381" t="inlineStr">
        <is>
          <t>GD-22-013934</t>
        </is>
      </c>
      <c r="C381" t="inlineStr">
        <is>
          <t>1311 Maple Ave</t>
        </is>
      </c>
      <c r="D381" t="inlineStr">
        <is>
          <t>Turtle Creek</t>
        </is>
      </c>
      <c r="E381" t="inlineStr">
        <is>
          <t>Active</t>
        </is>
      </c>
      <c r="F381" t="inlineStr">
        <is>
          <t>ok</t>
        </is>
      </c>
      <c r="G381" t="inlineStr">
        <is>
          <t>Sheriff OK box checked</t>
        </is>
      </c>
      <c r="H381" t="n">
        <v>44824.46</v>
      </c>
      <c r="I381" t="inlineStr"/>
    </row>
    <row r="382">
      <c r="A382" t="inlineStr">
        <is>
          <t>106NOV26</t>
        </is>
      </c>
      <c r="B382" t="inlineStr">
        <is>
          <t>GD-22-003481</t>
        </is>
      </c>
      <c r="C382" t="inlineStr">
        <is>
          <t>2312 S Braddock Avenue</t>
        </is>
      </c>
      <c r="D382" t="inlineStr">
        <is>
          <t>Swissvale</t>
        </is>
      </c>
      <c r="E382" t="inlineStr">
        <is>
          <t>Active</t>
        </is>
      </c>
      <c r="F382" t="inlineStr">
        <is>
          <t>ok</t>
        </is>
      </c>
      <c r="G382" t="inlineStr">
        <is>
          <t>Sheriff OK box checked</t>
        </is>
      </c>
      <c r="H382" t="n">
        <v>38919.1</v>
      </c>
      <c r="I382" t="inlineStr"/>
    </row>
    <row r="383">
      <c r="A383" t="inlineStr">
        <is>
          <t>107NOV26</t>
        </is>
      </c>
      <c r="B383" t="inlineStr">
        <is>
          <t>GD-25-008125</t>
        </is>
      </c>
      <c r="C383" t="inlineStr">
        <is>
          <t>219 Wyngate Rd</t>
        </is>
      </c>
      <c r="D383" t="inlineStr">
        <is>
          <t>Moon</t>
        </is>
      </c>
      <c r="E383" t="inlineStr">
        <is>
          <t>Active</t>
        </is>
      </c>
      <c r="F383" t="inlineStr">
        <is>
          <t>ok</t>
        </is>
      </c>
      <c r="G383" t="inlineStr">
        <is>
          <t>Sheriff OK box checked</t>
        </is>
      </c>
      <c r="H383" t="n">
        <v>15614.37</v>
      </c>
      <c r="I383" t="inlineStr"/>
    </row>
    <row r="384">
      <c r="A384" t="inlineStr">
        <is>
          <t>108NOV26</t>
        </is>
      </c>
      <c r="B384" t="inlineStr">
        <is>
          <t>GD-25-008525</t>
        </is>
      </c>
      <c r="C384" t="inlineStr">
        <is>
          <t>300 Wildflower Court</t>
        </is>
      </c>
      <c r="D384" t="inlineStr">
        <is>
          <t>Ross</t>
        </is>
      </c>
      <c r="E384" t="inlineStr">
        <is>
          <t>Active</t>
        </is>
      </c>
      <c r="F384" t="inlineStr">
        <is>
          <t>ok</t>
        </is>
      </c>
      <c r="G384" t="inlineStr">
        <is>
          <t>Sheriff OK box checked</t>
        </is>
      </c>
      <c r="H384" t="n">
        <v>26361.64</v>
      </c>
      <c r="I384" t="inlineStr"/>
    </row>
    <row r="385">
      <c r="A385" t="inlineStr">
        <is>
          <t>109NOV26</t>
        </is>
      </c>
      <c r="B385" t="inlineStr">
        <is>
          <t>GD-25-004329</t>
        </is>
      </c>
      <c r="C385" t="inlineStr">
        <is>
          <t>115 Brinton Ave</t>
        </is>
      </c>
      <c r="D385" t="inlineStr">
        <is>
          <t>Pitcairn</t>
        </is>
      </c>
      <c r="E385" t="inlineStr">
        <is>
          <t>Active</t>
        </is>
      </c>
      <c r="F385" t="inlineStr">
        <is>
          <t>ok</t>
        </is>
      </c>
      <c r="G385" t="inlineStr">
        <is>
          <t>Sheriff OK box checked</t>
        </is>
      </c>
      <c r="H385" t="n">
        <v>13851.74</v>
      </c>
      <c r="I385" t="inlineStr"/>
    </row>
    <row r="386">
      <c r="A386" t="inlineStr">
        <is>
          <t>110NOV26</t>
        </is>
      </c>
      <c r="B386" t="inlineStr">
        <is>
          <t>MG-26-000588</t>
        </is>
      </c>
      <c r="C386" t="inlineStr">
        <is>
          <t>711 Vermont Avenue</t>
        </is>
      </c>
      <c r="D386" t="inlineStr">
        <is>
          <t>Glassport</t>
        </is>
      </c>
      <c r="E386" t="inlineStr">
        <is>
          <t>Active</t>
        </is>
      </c>
      <c r="F386" t="inlineStr">
        <is>
          <t>ok</t>
        </is>
      </c>
      <c r="G386" t="inlineStr">
        <is>
          <t>Sheriff OK box checked</t>
        </is>
      </c>
      <c r="H386" t="n">
        <v>3031.99</v>
      </c>
      <c r="I386" t="inlineStr">
        <is>
          <t>FHA-insured loan</t>
        </is>
      </c>
    </row>
    <row r="387">
      <c r="A387" t="inlineStr">
        <is>
          <t>111NOV26</t>
        </is>
      </c>
      <c r="B387" t="inlineStr">
        <is>
          <t>MG-25-000987</t>
        </is>
      </c>
      <c r="C387" t="inlineStr">
        <is>
          <t>3864 Dickey Road</t>
        </is>
      </c>
      <c r="D387" t="inlineStr">
        <is>
          <t>Richland</t>
        </is>
      </c>
      <c r="E387" t="inlineStr">
        <is>
          <t>Active</t>
        </is>
      </c>
      <c r="F387" t="inlineStr">
        <is>
          <t>excluded</t>
        </is>
      </c>
      <c r="G387" t="inlineStr">
        <is>
          <t>Handbill / short-description defect – Sheriff says sale must be postponed</t>
        </is>
      </c>
      <c r="H387" t="n">
        <v>8222.110000000001</v>
      </c>
      <c r="I387" t="inlineStr"/>
    </row>
    <row r="388">
      <c r="A388" t="inlineStr">
        <is>
          <t>112NOV26</t>
        </is>
      </c>
      <c r="B388" t="inlineStr">
        <is>
          <t>GD-26-005000</t>
        </is>
      </c>
      <c r="C388" t="inlineStr">
        <is>
          <t>1732-1734 Wright St</t>
        </is>
      </c>
      <c r="D388" t="inlineStr">
        <is>
          <t>Wilkinsburg</t>
        </is>
      </c>
      <c r="E388" t="inlineStr">
        <is>
          <t>Active</t>
        </is>
      </c>
      <c r="F388" t="inlineStr">
        <is>
          <t>ok</t>
        </is>
      </c>
      <c r="G388" t="inlineStr">
        <is>
          <t>Sheriff OK box checked</t>
        </is>
      </c>
      <c r="H388" t="n">
        <v>2274.3</v>
      </c>
      <c r="I388" t="inlineStr"/>
    </row>
    <row r="389">
      <c r="A389" t="inlineStr">
        <is>
          <t>113NOV26</t>
        </is>
      </c>
      <c r="B389" t="inlineStr">
        <is>
          <t>MG-18-000949</t>
        </is>
      </c>
      <c r="C389" t="inlineStr">
        <is>
          <t>23 Ann Arbor Avenue</t>
        </is>
      </c>
      <c r="D389" t="inlineStr">
        <is>
          <t>West View</t>
        </is>
      </c>
      <c r="E389" t="inlineStr">
        <is>
          <t>Active</t>
        </is>
      </c>
      <c r="F389" t="inlineStr">
        <is>
          <t>excluded</t>
        </is>
      </c>
      <c r="G389" t="inlineStr">
        <is>
          <t>Docs outstanding: Proof of service on defendant; Rule 3129.2 notice of sale / affidavit of service</t>
        </is>
      </c>
      <c r="H389" t="n">
        <v>18906.7</v>
      </c>
      <c r="I389" t="inlineStr"/>
    </row>
    <row r="390">
      <c r="A390" t="inlineStr">
        <is>
          <t>114NOV26</t>
        </is>
      </c>
      <c r="B390" t="inlineStr">
        <is>
          <t>GD-26-004921</t>
        </is>
      </c>
      <c r="C390" t="inlineStr">
        <is>
          <t>104 Marylea Ave</t>
        </is>
      </c>
      <c r="D390" t="inlineStr">
        <is>
          <t>Brentwood</t>
        </is>
      </c>
      <c r="E390" t="inlineStr">
        <is>
          <t>Postponed to 1/4/2027</t>
        </is>
      </c>
      <c r="F390" t="inlineStr">
        <is>
          <t>excluded</t>
        </is>
      </c>
      <c r="G390" t="inlineStr">
        <is>
          <t>Postponed to 1/4/2027</t>
        </is>
      </c>
      <c r="H390" t="n">
        <v>12982.94</v>
      </c>
      <c r="I390" t="inlineStr">
        <is>
          <t>Bankruptcy history: 1 filing(s)</t>
        </is>
      </c>
    </row>
    <row r="391">
      <c r="A391" t="inlineStr">
        <is>
          <t>115NOV26</t>
        </is>
      </c>
      <c r="B391" t="inlineStr">
        <is>
          <t>MG-26-000397</t>
        </is>
      </c>
      <c r="C391" t="inlineStr">
        <is>
          <t>2452 Wenzell Ave</t>
        </is>
      </c>
      <c r="D391" t="inlineStr">
        <is>
          <t>Pittsburgh</t>
        </is>
      </c>
      <c r="E391" t="inlineStr">
        <is>
          <t>Postponed to 12/7/2026</t>
        </is>
      </c>
      <c r="F391" t="inlineStr">
        <is>
          <t>excluded</t>
        </is>
      </c>
      <c r="G391" t="inlineStr">
        <is>
          <t>Postponed to 12/7/2026</t>
        </is>
      </c>
      <c r="H391" t="n">
        <v>2932.59</v>
      </c>
      <c r="I391" t="inlineStr"/>
    </row>
    <row r="392">
      <c r="A392" t="inlineStr">
        <is>
          <t>116NOV26</t>
        </is>
      </c>
      <c r="B392" t="inlineStr">
        <is>
          <t>MG-24-000627</t>
        </is>
      </c>
      <c r="C392" t="inlineStr">
        <is>
          <t>400 27th Street</t>
        </is>
      </c>
      <c r="D392" t="inlineStr">
        <is>
          <t>McKeesport</t>
        </is>
      </c>
      <c r="E392" t="inlineStr">
        <is>
          <t>Postponed to 12/7/2026</t>
        </is>
      </c>
      <c r="F392" t="inlineStr">
        <is>
          <t>excluded</t>
        </is>
      </c>
      <c r="G392" t="inlineStr">
        <is>
          <t>Postponed to 12/7/2026</t>
        </is>
      </c>
      <c r="H392" t="n">
        <v>4364.33</v>
      </c>
      <c r="I392" t="inlineStr"/>
    </row>
    <row r="393">
      <c r="A393" t="inlineStr">
        <is>
          <t>117NOV26</t>
        </is>
      </c>
      <c r="B393" t="inlineStr">
        <is>
          <t>GD-24-010107</t>
        </is>
      </c>
      <c r="C393" t="inlineStr">
        <is>
          <t>2558 Main St</t>
        </is>
      </c>
      <c r="D393" t="inlineStr">
        <is>
          <t>Penn Hills</t>
        </is>
      </c>
      <c r="E393" t="inlineStr">
        <is>
          <t>Postponed to 2/1/2027</t>
        </is>
      </c>
      <c r="F393" t="inlineStr">
        <is>
          <t>excluded</t>
        </is>
      </c>
      <c r="G393" t="inlineStr">
        <is>
          <t>Postponed to 2/1/2027</t>
        </is>
      </c>
      <c r="H393" t="n">
        <v>15669.28</v>
      </c>
      <c r="I393" t="inlineStr"/>
    </row>
    <row r="394">
      <c r="A394" t="inlineStr">
        <is>
          <t>118NOV26</t>
        </is>
      </c>
      <c r="B394" t="inlineStr">
        <is>
          <t>GD-24-006984</t>
        </is>
      </c>
      <c r="C394" t="inlineStr">
        <is>
          <t>924 Elizabeth Street</t>
        </is>
      </c>
      <c r="D394" t="inlineStr">
        <is>
          <t>Liberty</t>
        </is>
      </c>
      <c r="E394" t="inlineStr">
        <is>
          <t>Postponed to 2/1/2027</t>
        </is>
      </c>
      <c r="F394" t="inlineStr">
        <is>
          <t>excluded</t>
        </is>
      </c>
      <c r="G394" t="inlineStr">
        <is>
          <t>Postponed to 2/1/2027</t>
        </is>
      </c>
      <c r="H394" t="n">
        <v>15432.31</v>
      </c>
      <c r="I394" t="inlineStr"/>
    </row>
    <row r="395">
      <c r="A395" t="inlineStr">
        <is>
          <t>119NOV26</t>
        </is>
      </c>
      <c r="B395" t="inlineStr">
        <is>
          <t>GD-26-003933</t>
        </is>
      </c>
      <c r="C395" t="inlineStr">
        <is>
          <t>1444 Marlboro Avenue</t>
        </is>
      </c>
      <c r="D395" t="inlineStr">
        <is>
          <t>Wilkinsburg</t>
        </is>
      </c>
      <c r="E395" t="inlineStr">
        <is>
          <t>Postponed to 12/7/2026</t>
        </is>
      </c>
      <c r="F395" t="inlineStr">
        <is>
          <t>excluded</t>
        </is>
      </c>
      <c r="G395" t="inlineStr">
        <is>
          <t>Postponed to 12/7/2026</t>
        </is>
      </c>
      <c r="H395" t="n">
        <v>4259.6</v>
      </c>
      <c r="I395" t="inlineStr"/>
    </row>
    <row r="396">
      <c r="A396" t="inlineStr">
        <is>
          <t>120NOV26</t>
        </is>
      </c>
      <c r="B396" t="inlineStr">
        <is>
          <t>GD-25-004133</t>
        </is>
      </c>
      <c r="C396" t="inlineStr">
        <is>
          <t>52 Overbrook Rd</t>
        </is>
      </c>
      <c r="D396" t="inlineStr">
        <is>
          <t>Penn Hills</t>
        </is>
      </c>
      <c r="E396" t="inlineStr">
        <is>
          <t>Postponed to 12/7/2026</t>
        </is>
      </c>
      <c r="F396" t="inlineStr">
        <is>
          <t>excluded</t>
        </is>
      </c>
      <c r="G396" t="inlineStr">
        <is>
          <t>Postponed to 12/7/2026</t>
        </is>
      </c>
      <c r="H396" t="n">
        <v>10882.54</v>
      </c>
      <c r="I396" t="inlineStr"/>
    </row>
    <row r="397">
      <c r="A397" t="inlineStr">
        <is>
          <t>121NOV26</t>
        </is>
      </c>
      <c r="B397" t="inlineStr">
        <is>
          <t>GD-24-011984</t>
        </is>
      </c>
      <c r="C397" t="inlineStr">
        <is>
          <t>1501 Montgomery Road</t>
        </is>
      </c>
      <c r="D397" t="inlineStr">
        <is>
          <t>McCandless</t>
        </is>
      </c>
      <c r="E397" t="inlineStr">
        <is>
          <t>Postponed to 12/7/2026</t>
        </is>
      </c>
      <c r="F397" t="inlineStr">
        <is>
          <t>excluded</t>
        </is>
      </c>
      <c r="G397" t="inlineStr">
        <is>
          <t>Postponed to 12/7/2026</t>
        </is>
      </c>
      <c r="H397" t="n">
        <v>16360.65</v>
      </c>
      <c r="I397" t="inlineStr"/>
    </row>
    <row r="398">
      <c r="A398" t="inlineStr">
        <is>
          <t>122NOV26</t>
        </is>
      </c>
      <c r="B398" t="inlineStr">
        <is>
          <t>GD-25-006899</t>
        </is>
      </c>
      <c r="C398" t="inlineStr">
        <is>
          <t>144 Camp Avenue</t>
        </is>
      </c>
      <c r="D398" t="inlineStr">
        <is>
          <t>Braddock</t>
        </is>
      </c>
      <c r="E398" t="inlineStr">
        <is>
          <t>Postponed to 12/7/2026</t>
        </is>
      </c>
      <c r="F398" t="inlineStr">
        <is>
          <t>excluded</t>
        </is>
      </c>
      <c r="G398" t="inlineStr">
        <is>
          <t>Postponed to 12/7/2026</t>
        </is>
      </c>
      <c r="H398" t="n">
        <v>10829.61</v>
      </c>
      <c r="I398" t="inlineStr"/>
    </row>
    <row r="399">
      <c r="A399" t="inlineStr">
        <is>
          <t>123NOV26</t>
        </is>
      </c>
      <c r="B399" t="inlineStr">
        <is>
          <t>GD-25-007439</t>
        </is>
      </c>
      <c r="C399" t="inlineStr">
        <is>
          <t>147 Oakhurst Road</t>
        </is>
      </c>
      <c r="D399" t="inlineStr">
        <is>
          <t>O'Hara</t>
        </is>
      </c>
      <c r="E399" t="inlineStr">
        <is>
          <t>Active</t>
        </is>
      </c>
      <c r="F399" t="inlineStr">
        <is>
          <t>ok</t>
        </is>
      </c>
      <c r="G399" t="inlineStr">
        <is>
          <t>Sheriff OK box checked</t>
        </is>
      </c>
      <c r="H399" t="n">
        <v>21840.24</v>
      </c>
      <c r="I399" t="inlineStr"/>
    </row>
    <row r="400">
      <c r="A400" t="inlineStr">
        <is>
          <t>124NOV26</t>
        </is>
      </c>
      <c r="B400" t="inlineStr">
        <is>
          <t>GD-23-010032</t>
        </is>
      </c>
      <c r="C400" t="inlineStr">
        <is>
          <t>3111 Robinson Run Road</t>
        </is>
      </c>
      <c r="D400" t="inlineStr">
        <is>
          <t>South Fayette</t>
        </is>
      </c>
      <c r="E400" t="inlineStr">
        <is>
          <t>Postponed to 12/7/2026</t>
        </is>
      </c>
      <c r="F400" t="inlineStr">
        <is>
          <t>excluded</t>
        </is>
      </c>
      <c r="G400" t="inlineStr">
        <is>
          <t>Postponed to 12/7/2026</t>
        </is>
      </c>
      <c r="H400" t="n">
        <v>87009.22</v>
      </c>
      <c r="I400" t="inlineStr"/>
    </row>
    <row r="401">
      <c r="A401" t="inlineStr">
        <is>
          <t>125NOV26</t>
        </is>
      </c>
      <c r="B401" t="inlineStr">
        <is>
          <t>GD-14-021137</t>
        </is>
      </c>
      <c r="C401" t="inlineStr">
        <is>
          <t>36 Rich Hill Road</t>
        </is>
      </c>
      <c r="D401" t="inlineStr">
        <is>
          <t>Harmar</t>
        </is>
      </c>
      <c r="E401" t="inlineStr">
        <is>
          <t>Active</t>
        </is>
      </c>
      <c r="F401" t="inlineStr">
        <is>
          <t>ok</t>
        </is>
      </c>
      <c r="G401" t="inlineStr">
        <is>
          <t>Sheriff OK box checked</t>
        </is>
      </c>
      <c r="H401" t="n">
        <v>66060.67999999999</v>
      </c>
      <c r="I401" t="inlineStr"/>
    </row>
    <row r="402">
      <c r="A402" t="inlineStr">
        <is>
          <t>126NOV26</t>
        </is>
      </c>
      <c r="B402" t="inlineStr">
        <is>
          <t>MG-26-000328</t>
        </is>
      </c>
      <c r="C402" t="inlineStr">
        <is>
          <t>1114 Fedorek Dr</t>
        </is>
      </c>
      <c r="D402" t="inlineStr">
        <is>
          <t>South Park</t>
        </is>
      </c>
      <c r="E402" t="inlineStr">
        <is>
          <t>Active</t>
        </is>
      </c>
      <c r="F402" t="inlineStr">
        <is>
          <t>excluded</t>
        </is>
      </c>
      <c r="G402" t="inlineStr">
        <is>
          <t>Docs outstanding: Proof of service on defendants; Rule 3129.2 notice of sale / affidavit of service</t>
        </is>
      </c>
      <c r="H402" t="n">
        <v>2091.33</v>
      </c>
      <c r="I402" t="inlineStr"/>
    </row>
    <row r="403">
      <c r="A403" t="inlineStr">
        <is>
          <t>127NOV26</t>
        </is>
      </c>
      <c r="B403" t="inlineStr">
        <is>
          <t>MG-24-000766</t>
        </is>
      </c>
      <c r="C403" t="inlineStr">
        <is>
          <t>1456 Harris Ave</t>
        </is>
      </c>
      <c r="D403" t="inlineStr">
        <is>
          <t>Pittsburgh</t>
        </is>
      </c>
      <c r="E403" t="inlineStr">
        <is>
          <t>Stayed</t>
        </is>
      </c>
      <c r="F403" t="inlineStr">
        <is>
          <t>excluded</t>
        </is>
      </c>
      <c r="G403" t="inlineStr">
        <is>
          <t>Stayed</t>
        </is>
      </c>
      <c r="H403" t="n">
        <v>1541.25</v>
      </c>
      <c r="I403" t="inlineStr"/>
    </row>
    <row r="404">
      <c r="A404" t="inlineStr">
        <is>
          <t>128NOV26</t>
        </is>
      </c>
      <c r="B404" t="inlineStr">
        <is>
          <t>GD-26-004661</t>
        </is>
      </c>
      <c r="C404" t="inlineStr">
        <is>
          <t>636 Lillian St</t>
        </is>
      </c>
      <c r="D404" t="inlineStr">
        <is>
          <t>Pittsburgh</t>
        </is>
      </c>
      <c r="E404" t="inlineStr">
        <is>
          <t>Active</t>
        </is>
      </c>
      <c r="F404" t="inlineStr">
        <is>
          <t>excluded</t>
        </is>
      </c>
      <c r="G404" t="inlineStr">
        <is>
          <t>Bankruptcy dismissal / relief-from-stay docs (BK 26-22766)</t>
        </is>
      </c>
      <c r="H404" t="n">
        <v>4012.17</v>
      </c>
      <c r="I404" t="inlineStr">
        <is>
          <t>Bankruptcy history: 1 filing(s)</t>
        </is>
      </c>
    </row>
    <row r="405">
      <c r="A405" t="inlineStr">
        <is>
          <t>129NOV26</t>
        </is>
      </c>
      <c r="B405" t="inlineStr">
        <is>
          <t>mg-23-000984 Real Estate Sale - Mortgage Foreclosure</t>
        </is>
      </c>
      <c r="C405" t="inlineStr">
        <is>
          <t>1118 Greentree Rd</t>
        </is>
      </c>
      <c r="D405" t="inlineStr">
        <is>
          <t>Green Tree</t>
        </is>
      </c>
      <c r="E405" t="inlineStr">
        <is>
          <t>Active</t>
        </is>
      </c>
      <c r="F405" t="inlineStr">
        <is>
          <t>excluded</t>
        </is>
      </c>
      <c r="G405" t="inlineStr">
        <is>
          <t>Docs outstanding: Rule 3129.2 notice of sale / affidavit of service</t>
        </is>
      </c>
      <c r="H405" t="n">
        <v>15799.14</v>
      </c>
      <c r="I405" t="inlineStr">
        <is>
          <t>HOA/condo judgment sale — a first mortgage may survive the sale</t>
        </is>
      </c>
    </row>
    <row r="406">
      <c r="A406" t="inlineStr">
        <is>
          <t>130NOV26</t>
        </is>
      </c>
      <c r="B406" t="inlineStr">
        <is>
          <t>MG-25-000378</t>
        </is>
      </c>
      <c r="C406" t="inlineStr">
        <is>
          <t>682 Freedom Drive</t>
        </is>
      </c>
      <c r="D406" t="inlineStr">
        <is>
          <t>Collier</t>
        </is>
      </c>
      <c r="E406" t="inlineStr">
        <is>
          <t>Stayed</t>
        </is>
      </c>
      <c r="F406" t="inlineStr">
        <is>
          <t>excluded</t>
        </is>
      </c>
      <c r="G406" t="inlineStr">
        <is>
          <t>Stayed</t>
        </is>
      </c>
      <c r="H406" t="n">
        <v>1932.25</v>
      </c>
      <c r="I406" t="inlineStr"/>
    </row>
    <row r="407">
      <c r="A407" t="inlineStr">
        <is>
          <t>131NOV26</t>
        </is>
      </c>
      <c r="B407" t="inlineStr">
        <is>
          <t>MG-26-000335</t>
        </is>
      </c>
      <c r="C407" t="inlineStr">
        <is>
          <t>2410 Canterbury Drive</t>
        </is>
      </c>
      <c r="D407" t="inlineStr">
        <is>
          <t>Elizabeth Twp</t>
        </is>
      </c>
      <c r="E407" t="inlineStr">
        <is>
          <t>Active</t>
        </is>
      </c>
      <c r="F407" t="inlineStr">
        <is>
          <t>excluded</t>
        </is>
      </c>
      <c r="G407" t="inlineStr">
        <is>
          <t>Docs outstanding: Proof of service on defendant</t>
        </is>
      </c>
      <c r="H407" t="n">
        <v>3987.19</v>
      </c>
      <c r="I407" t="inlineStr"/>
    </row>
    <row r="408">
      <c r="A408" t="inlineStr">
        <is>
          <t>132NOV26</t>
        </is>
      </c>
      <c r="B408" t="inlineStr">
        <is>
          <t>GD-26-005996</t>
        </is>
      </c>
      <c r="C408" t="inlineStr">
        <is>
          <t>518 James Street</t>
        </is>
      </c>
      <c r="D408" t="inlineStr">
        <is>
          <t>Turtle Creek</t>
        </is>
      </c>
      <c r="E408" t="inlineStr">
        <is>
          <t>Active</t>
        </is>
      </c>
      <c r="F408" t="inlineStr">
        <is>
          <t>excluded</t>
        </is>
      </c>
      <c r="G408" t="inlineStr">
        <is>
          <t>Non-residential (Commercial)</t>
        </is>
      </c>
      <c r="H408" t="n">
        <v>18390.43</v>
      </c>
      <c r="I408" t="inlineStr"/>
    </row>
    <row r="409">
      <c r="A409" t="inlineStr">
        <is>
          <t>133NOV26</t>
        </is>
      </c>
      <c r="B409" t="inlineStr">
        <is>
          <t>MG-26-000462</t>
        </is>
      </c>
      <c r="C409" t="inlineStr">
        <is>
          <t>112 Meadow Gap Drive</t>
        </is>
      </c>
      <c r="D409" t="inlineStr">
        <is>
          <t>Monroeville</t>
        </is>
      </c>
      <c r="E409" t="inlineStr">
        <is>
          <t>Postponed to 1/4/2027</t>
        </is>
      </c>
      <c r="F409" t="inlineStr">
        <is>
          <t>excluded</t>
        </is>
      </c>
      <c r="G409" t="inlineStr">
        <is>
          <t>Postponed to 1/4/2027</t>
        </is>
      </c>
      <c r="H409" t="n">
        <v>2596.68</v>
      </c>
      <c r="I409" t="inlineStr"/>
    </row>
    <row r="410">
      <c r="A410" t="inlineStr">
        <is>
          <t>134NOV26</t>
        </is>
      </c>
      <c r="B410" t="inlineStr">
        <is>
          <t>MG-26-000008</t>
        </is>
      </c>
      <c r="C410" t="inlineStr">
        <is>
          <t>90 Dinsmore Avenue</t>
        </is>
      </c>
      <c r="D410" t="inlineStr">
        <is>
          <t>Crafton</t>
        </is>
      </c>
      <c r="E410" t="inlineStr">
        <is>
          <t>Active</t>
        </is>
      </c>
      <c r="F410" t="inlineStr">
        <is>
          <t>ok</t>
        </is>
      </c>
      <c r="G410" t="inlineStr">
        <is>
          <t>Sheriff OK box checked</t>
        </is>
      </c>
      <c r="H410" t="n">
        <v>4982.21</v>
      </c>
      <c r="I410" t="inlineStr"/>
    </row>
    <row r="411">
      <c r="A411" t="inlineStr">
        <is>
          <t>135NOV26</t>
        </is>
      </c>
      <c r="B411" t="inlineStr">
        <is>
          <t>MG-23-000711</t>
        </is>
      </c>
      <c r="C411" t="inlineStr">
        <is>
          <t>1300 Glarius Avenue ; Glarius Ave</t>
        </is>
      </c>
      <c r="D411" t="inlineStr">
        <is>
          <t>Ross</t>
        </is>
      </c>
      <c r="E411" t="inlineStr">
        <is>
          <t>Postponed to 12/7/2026</t>
        </is>
      </c>
      <c r="F411" t="inlineStr">
        <is>
          <t>excluded</t>
        </is>
      </c>
      <c r="G411" t="inlineStr">
        <is>
          <t>Postponed to 12/7/2026</t>
        </is>
      </c>
      <c r="H411" t="n">
        <v>30743.97</v>
      </c>
      <c r="I411" t="inlineStr"/>
    </row>
    <row r="412">
      <c r="A412" t="inlineStr">
        <is>
          <t>136NOV26</t>
        </is>
      </c>
      <c r="B412" t="inlineStr">
        <is>
          <t>MG-26-000149</t>
        </is>
      </c>
      <c r="C412" t="inlineStr">
        <is>
          <t>158 West Larkspur Street</t>
        </is>
      </c>
      <c r="D412" t="inlineStr">
        <is>
          <t>Munhall</t>
        </is>
      </c>
      <c r="E412" t="inlineStr">
        <is>
          <t>Postponed to 12/7/2026</t>
        </is>
      </c>
      <c r="F412" t="inlineStr">
        <is>
          <t>excluded</t>
        </is>
      </c>
      <c r="G412" t="inlineStr">
        <is>
          <t>Postponed to 12/7/2026</t>
        </is>
      </c>
      <c r="H412" t="n">
        <v>2621.25</v>
      </c>
      <c r="I412" t="inlineStr"/>
    </row>
    <row r="413">
      <c r="A413" t="inlineStr">
        <is>
          <t>137NOV26</t>
        </is>
      </c>
      <c r="B413" t="inlineStr">
        <is>
          <t>GD-25-005075</t>
        </is>
      </c>
      <c r="C413" t="inlineStr">
        <is>
          <t>2504 Laketon Road</t>
        </is>
      </c>
      <c r="D413" t="inlineStr">
        <is>
          <t>Wilkinsburg</t>
        </is>
      </c>
      <c r="E413" t="inlineStr">
        <is>
          <t>Active</t>
        </is>
      </c>
      <c r="F413" t="inlineStr">
        <is>
          <t>excluded</t>
        </is>
      </c>
      <c r="G413" t="inlineStr">
        <is>
          <t>Docs outstanding: Proof of service on defendant; Rule 3129.2 notice of sale / affidavit of service</t>
        </is>
      </c>
      <c r="H413" t="n">
        <v>1746.5</v>
      </c>
      <c r="I413" t="inlineStr"/>
    </row>
    <row r="414">
      <c r="A414" t="inlineStr">
        <is>
          <t>138NOV26</t>
        </is>
      </c>
      <c r="B414" t="inlineStr">
        <is>
          <t>MG-26-000464</t>
        </is>
      </c>
      <c r="C414" t="inlineStr">
        <is>
          <t>125 8th Street</t>
        </is>
      </c>
      <c r="D414" t="inlineStr">
        <is>
          <t>Turtle Creek</t>
        </is>
      </c>
      <c r="E414" t="inlineStr">
        <is>
          <t>Active</t>
        </is>
      </c>
      <c r="F414" t="inlineStr">
        <is>
          <t>ok</t>
        </is>
      </c>
      <c r="G414" t="inlineStr">
        <is>
          <t>Sheriff OK box checked</t>
        </is>
      </c>
      <c r="H414" t="n">
        <v>2650.34</v>
      </c>
      <c r="I414" t="inlineStr"/>
    </row>
    <row r="415">
      <c r="A415" t="inlineStr">
        <is>
          <t>139NOV26</t>
        </is>
      </c>
      <c r="B415" t="inlineStr">
        <is>
          <t>MG-25-000743</t>
        </is>
      </c>
      <c r="C415" t="inlineStr">
        <is>
          <t>124 Oakdale Road</t>
        </is>
      </c>
      <c r="D415" t="inlineStr">
        <is>
          <t>North Versailles</t>
        </is>
      </c>
      <c r="E415" t="inlineStr">
        <is>
          <t>Active</t>
        </is>
      </c>
      <c r="F415" t="inlineStr">
        <is>
          <t>excluded</t>
        </is>
      </c>
      <c r="G415" t="inlineStr">
        <is>
          <t>Docs outstanding: Proof of service on defendants</t>
        </is>
      </c>
      <c r="H415" t="n">
        <v>2560.15</v>
      </c>
      <c r="I415" t="inlineStr"/>
    </row>
    <row r="416">
      <c r="A416" t="inlineStr">
        <is>
          <t>140NOV26</t>
        </is>
      </c>
      <c r="B416" t="inlineStr">
        <is>
          <t>GD-26-005350</t>
        </is>
      </c>
      <c r="C416" t="inlineStr">
        <is>
          <t>932 Park Place</t>
        </is>
      </c>
      <c r="D416" t="inlineStr">
        <is>
          <t>Pine</t>
        </is>
      </c>
      <c r="E416" t="inlineStr">
        <is>
          <t>Active</t>
        </is>
      </c>
      <c r="F416" t="inlineStr">
        <is>
          <t>ok</t>
        </is>
      </c>
      <c r="G416" t="inlineStr">
        <is>
          <t>Sheriff OK box checked</t>
        </is>
      </c>
      <c r="H416" t="n">
        <v>1914.47</v>
      </c>
      <c r="I416" t="inlineStr"/>
    </row>
    <row r="417">
      <c r="A417" t="inlineStr">
        <is>
          <t>141NOV26</t>
        </is>
      </c>
      <c r="B417" t="inlineStr">
        <is>
          <t>GD-24-000653</t>
        </is>
      </c>
      <c r="C417" t="inlineStr">
        <is>
          <t>1209 Lincoln Hwy</t>
        </is>
      </c>
      <c r="D417" t="inlineStr">
        <is>
          <t>North Versailles</t>
        </is>
      </c>
      <c r="E417" t="inlineStr">
        <is>
          <t>Active</t>
        </is>
      </c>
      <c r="F417" t="inlineStr">
        <is>
          <t>ok</t>
        </is>
      </c>
      <c r="G417" t="inlineStr">
        <is>
          <t>Sheriff OK box checked</t>
        </is>
      </c>
      <c r="H417" t="n">
        <v>70994.23</v>
      </c>
      <c r="I417" t="inlineStr"/>
    </row>
    <row r="418">
      <c r="A418" t="inlineStr">
        <is>
          <t>142NOV26</t>
        </is>
      </c>
      <c r="B418" t="inlineStr">
        <is>
          <t>GD-26-002371</t>
        </is>
      </c>
      <c r="C418" t="inlineStr">
        <is>
          <t>1608 Arlington Ave</t>
        </is>
      </c>
      <c r="D418" t="inlineStr">
        <is>
          <t>Mount Oliver</t>
        </is>
      </c>
      <c r="E418" t="inlineStr">
        <is>
          <t>Active</t>
        </is>
      </c>
      <c r="F418" t="inlineStr">
        <is>
          <t>ok</t>
        </is>
      </c>
      <c r="G418" t="inlineStr">
        <is>
          <t>Sheriff OK box checked</t>
        </is>
      </c>
      <c r="H418" t="n">
        <v>20517.18</v>
      </c>
      <c r="I418" t="inlineStr"/>
    </row>
    <row r="419">
      <c r="A419" t="inlineStr">
        <is>
          <t>143NOV26</t>
        </is>
      </c>
      <c r="B419" t="inlineStr">
        <is>
          <t>GD-25-009219</t>
        </is>
      </c>
      <c r="C419" t="inlineStr">
        <is>
          <t>7471 Delmar Way</t>
        </is>
      </c>
      <c r="D419" t="inlineStr">
        <is>
          <t>Swissvale</t>
        </is>
      </c>
      <c r="E419" t="inlineStr">
        <is>
          <t>Active</t>
        </is>
      </c>
      <c r="F419" t="inlineStr">
        <is>
          <t>ok</t>
        </is>
      </c>
      <c r="G419" t="inlineStr">
        <is>
          <t>Sheriff OK box checked</t>
        </is>
      </c>
      <c r="H419" t="n">
        <v>145809.04</v>
      </c>
      <c r="I419" t="inlineStr"/>
    </row>
    <row r="420">
      <c r="A420" t="inlineStr">
        <is>
          <t>144NOV26</t>
        </is>
      </c>
      <c r="B420" t="inlineStr">
        <is>
          <t>AR-18-003556</t>
        </is>
      </c>
      <c r="C420" t="inlineStr">
        <is>
          <t>5415 Butler Street</t>
        </is>
      </c>
      <c r="D420" t="inlineStr">
        <is>
          <t>Pittsburgh</t>
        </is>
      </c>
      <c r="E420" t="inlineStr">
        <is>
          <t>Active</t>
        </is>
      </c>
      <c r="F420" t="inlineStr">
        <is>
          <t>excluded</t>
        </is>
      </c>
      <c r="G420" t="inlineStr">
        <is>
          <t>Non-residential (Commercial)</t>
        </is>
      </c>
      <c r="H420" t="n">
        <v>2879.62</v>
      </c>
      <c r="I420" t="inlineStr">
        <is>
          <t>Bankruptcy history: 1 filing(s)</t>
        </is>
      </c>
    </row>
    <row r="421">
      <c r="A421" t="inlineStr">
        <is>
          <t>145NOV26</t>
        </is>
      </c>
      <c r="B421" t="inlineStr">
        <is>
          <t>GD-25-013374</t>
        </is>
      </c>
      <c r="C421" t="inlineStr">
        <is>
          <t>30 Elmwood St</t>
        </is>
      </c>
      <c r="D421" t="inlineStr">
        <is>
          <t>Crafton</t>
        </is>
      </c>
      <c r="E421" t="inlineStr">
        <is>
          <t>Active</t>
        </is>
      </c>
      <c r="F421" t="inlineStr">
        <is>
          <t>ok</t>
        </is>
      </c>
      <c r="G421" t="inlineStr">
        <is>
          <t>Sheriff OK box checked</t>
        </is>
      </c>
      <c r="H421" t="n">
        <v>57841.47</v>
      </c>
      <c r="I421" t="inlineStr"/>
    </row>
    <row r="422">
      <c r="A422" t="inlineStr">
        <is>
          <t>146NOV26</t>
        </is>
      </c>
      <c r="B422" t="inlineStr">
        <is>
          <t>GD-25-010229</t>
        </is>
      </c>
      <c r="C422" t="inlineStr">
        <is>
          <t>5 Spruce St</t>
        </is>
      </c>
      <c r="D422" t="inlineStr">
        <is>
          <t>Ben Avon</t>
        </is>
      </c>
      <c r="E422" t="inlineStr">
        <is>
          <t>Stayed</t>
        </is>
      </c>
      <c r="F422" t="inlineStr">
        <is>
          <t>excluded</t>
        </is>
      </c>
      <c r="G422" t="inlineStr">
        <is>
          <t>Stayed</t>
        </is>
      </c>
      <c r="H422" t="n">
        <v>4637.35</v>
      </c>
      <c r="I422" t="inlineStr"/>
    </row>
    <row r="423">
      <c r="A423" t="inlineStr">
        <is>
          <t>147NOV26</t>
        </is>
      </c>
      <c r="B423" t="inlineStr">
        <is>
          <t>GD-25-007632</t>
        </is>
      </c>
      <c r="C423" t="inlineStr">
        <is>
          <t>4018 Greensburg Pike</t>
        </is>
      </c>
      <c r="D423" t="inlineStr">
        <is>
          <t>Forest Hills</t>
        </is>
      </c>
      <c r="E423" t="inlineStr">
        <is>
          <t>Active</t>
        </is>
      </c>
      <c r="F423" t="inlineStr">
        <is>
          <t>ok</t>
        </is>
      </c>
      <c r="G423" t="inlineStr">
        <is>
          <t>Sheriff OK box checked</t>
        </is>
      </c>
      <c r="H423" t="n">
        <v>27434.66</v>
      </c>
      <c r="I423" t="inlineStr"/>
    </row>
    <row r="424">
      <c r="A424" t="inlineStr">
        <is>
          <t>148NOV26</t>
        </is>
      </c>
      <c r="B424" t="inlineStr">
        <is>
          <t>GD-26-005372</t>
        </is>
      </c>
      <c r="C424" t="inlineStr">
        <is>
          <t>232 Zara St</t>
        </is>
      </c>
      <c r="D424" t="inlineStr">
        <is>
          <t>Pittsburgh</t>
        </is>
      </c>
      <c r="E424" t="inlineStr">
        <is>
          <t>Active</t>
        </is>
      </c>
      <c r="F424" t="inlineStr">
        <is>
          <t>ok</t>
        </is>
      </c>
      <c r="G424" t="inlineStr">
        <is>
          <t>Sheriff OK box checked</t>
        </is>
      </c>
      <c r="H424" t="n">
        <v>31281.9</v>
      </c>
      <c r="I424" t="inlineStr">
        <is>
          <t>Court decree on file</t>
        </is>
      </c>
    </row>
    <row r="425">
      <c r="A425" t="inlineStr">
        <is>
          <t>149NOV26</t>
        </is>
      </c>
      <c r="B425" t="inlineStr">
        <is>
          <t>GD-26-005514</t>
        </is>
      </c>
      <c r="C425" t="inlineStr">
        <is>
          <t>130 E Meyers St</t>
        </is>
      </c>
      <c r="D425" t="inlineStr">
        <is>
          <t>Pittsburgh</t>
        </is>
      </c>
      <c r="E425" t="inlineStr">
        <is>
          <t>Active</t>
        </is>
      </c>
      <c r="F425" t="inlineStr">
        <is>
          <t>ok</t>
        </is>
      </c>
      <c r="G425" t="inlineStr">
        <is>
          <t>Sheriff OK box checked</t>
        </is>
      </c>
      <c r="H425" t="n">
        <v>22363.09</v>
      </c>
      <c r="I425" t="inlineStr">
        <is>
          <t>Court decree on file</t>
        </is>
      </c>
    </row>
    <row r="426">
      <c r="A426" t="inlineStr">
        <is>
          <t>150NOV26</t>
        </is>
      </c>
      <c r="B426" t="inlineStr">
        <is>
          <t>GD-26-005370</t>
        </is>
      </c>
      <c r="C426" t="inlineStr">
        <is>
          <t>2285 Valera Ave</t>
        </is>
      </c>
      <c r="D426" t="inlineStr">
        <is>
          <t>Pittsburgh</t>
        </is>
      </c>
      <c r="E426" t="inlineStr">
        <is>
          <t>Active</t>
        </is>
      </c>
      <c r="F426" t="inlineStr">
        <is>
          <t>ok</t>
        </is>
      </c>
      <c r="G426" t="inlineStr">
        <is>
          <t>Sheriff OK box checked</t>
        </is>
      </c>
      <c r="H426" t="n">
        <v>68460.82000000001</v>
      </c>
      <c r="I426" t="inlineStr">
        <is>
          <t>Court decree on file</t>
        </is>
      </c>
    </row>
    <row r="427">
      <c r="A427" t="inlineStr">
        <is>
          <t>151NOV26</t>
        </is>
      </c>
      <c r="B427" t="inlineStr">
        <is>
          <t>GD-26-005512</t>
        </is>
      </c>
      <c r="C427" t="inlineStr">
        <is>
          <t>1922 Westmont Ave</t>
        </is>
      </c>
      <c r="D427" t="inlineStr">
        <is>
          <t>Pittsburgh</t>
        </is>
      </c>
      <c r="E427" t="inlineStr">
        <is>
          <t>Active</t>
        </is>
      </c>
      <c r="F427" t="inlineStr">
        <is>
          <t>ok</t>
        </is>
      </c>
      <c r="G427" t="inlineStr">
        <is>
          <t>Sheriff OK box checked</t>
        </is>
      </c>
      <c r="H427" t="n">
        <v>43150.47</v>
      </c>
      <c r="I427" t="inlineStr">
        <is>
          <t>Court decree on file</t>
        </is>
      </c>
    </row>
    <row r="428">
      <c r="A428" t="inlineStr">
        <is>
          <t>152NOV26</t>
        </is>
      </c>
      <c r="B428" t="inlineStr">
        <is>
          <t>GD-26-005510</t>
        </is>
      </c>
      <c r="C428" t="inlineStr">
        <is>
          <t>232 Nobles Ln</t>
        </is>
      </c>
      <c r="D428" t="inlineStr">
        <is>
          <t>Pittsburgh</t>
        </is>
      </c>
      <c r="E428" t="inlineStr">
        <is>
          <t>Active</t>
        </is>
      </c>
      <c r="F428" t="inlineStr">
        <is>
          <t>ok</t>
        </is>
      </c>
      <c r="G428" t="inlineStr">
        <is>
          <t>Sheriff OK box checked</t>
        </is>
      </c>
      <c r="H428" t="n">
        <v>18563.47</v>
      </c>
      <c r="I428" t="inlineStr">
        <is>
          <t>Court decree on file</t>
        </is>
      </c>
    </row>
    <row r="429">
      <c r="A429" t="inlineStr">
        <is>
          <t>153NOV26</t>
        </is>
      </c>
      <c r="B429" t="inlineStr">
        <is>
          <t>GD-26-005511</t>
        </is>
      </c>
      <c r="C429" t="inlineStr">
        <is>
          <t>416 Arabella St</t>
        </is>
      </c>
      <c r="D429" t="inlineStr">
        <is>
          <t>Pittsburgh</t>
        </is>
      </c>
      <c r="E429" t="inlineStr">
        <is>
          <t>Active</t>
        </is>
      </c>
      <c r="F429" t="inlineStr">
        <is>
          <t>ok</t>
        </is>
      </c>
      <c r="G429" t="inlineStr">
        <is>
          <t>Sheriff OK box checked</t>
        </is>
      </c>
      <c r="H429" t="n">
        <v>56179.98</v>
      </c>
      <c r="I429" t="inlineStr">
        <is>
          <t>Court decree on file</t>
        </is>
      </c>
    </row>
    <row r="430">
      <c r="A430" t="inlineStr">
        <is>
          <t>154NOV26</t>
        </is>
      </c>
      <c r="B430" t="inlineStr">
        <is>
          <t>GD-26-005367</t>
        </is>
      </c>
      <c r="C430" t="inlineStr">
        <is>
          <t>34 Minooka St</t>
        </is>
      </c>
      <c r="D430" t="inlineStr">
        <is>
          <t>Pittsburgh</t>
        </is>
      </c>
      <c r="E430" t="inlineStr">
        <is>
          <t>Active</t>
        </is>
      </c>
      <c r="F430" t="inlineStr">
        <is>
          <t>ok</t>
        </is>
      </c>
      <c r="G430" t="inlineStr">
        <is>
          <t>Sheriff OK box checked</t>
        </is>
      </c>
      <c r="H430" t="n">
        <v>20848.3</v>
      </c>
      <c r="I430" t="inlineStr">
        <is>
          <t>Court decree on file</t>
        </is>
      </c>
    </row>
    <row r="431">
      <c r="A431" t="inlineStr">
        <is>
          <t>155NOV26</t>
        </is>
      </c>
      <c r="B431" t="inlineStr">
        <is>
          <t>GD-26-005513</t>
        </is>
      </c>
      <c r="C431" t="inlineStr">
        <is>
          <t>27 Minooka St</t>
        </is>
      </c>
      <c r="D431" t="inlineStr">
        <is>
          <t>Pittsburgh</t>
        </is>
      </c>
      <c r="E431" t="inlineStr">
        <is>
          <t>Active</t>
        </is>
      </c>
      <c r="F431" t="inlineStr">
        <is>
          <t>ok</t>
        </is>
      </c>
      <c r="G431" t="inlineStr">
        <is>
          <t>Sheriff OK box checked</t>
        </is>
      </c>
      <c r="H431" t="n">
        <v>29714.87</v>
      </c>
      <c r="I431" t="inlineStr">
        <is>
          <t>Court decree on file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t="inlineStr">
        <is>
          <t>sale_id</t>
        </is>
      </c>
      <c r="B1" t="inlineStr">
        <is>
          <t>assessed_value</t>
        </is>
      </c>
      <c r="C1" t="inlineStr">
        <is>
          <t>max_bid</t>
        </is>
      </c>
      <c r="D1" t="inlineStr">
        <is>
          <t>my_notes</t>
        </is>
      </c>
      <c r="E1" t="inlineStr">
        <is>
          <t>sold_for</t>
        </is>
      </c>
      <c r="F1" t="inlineStr">
        <is>
          <t>bidder_no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sale_date</t>
        </is>
      </c>
      <c r="B1" t="inlineStr">
        <is>
          <t>2026-11-02</t>
        </is>
      </c>
    </row>
    <row r="2">
      <c r="A2" t="inlineStr">
        <is>
          <t>source</t>
        </is>
      </c>
      <c r="B2" t="inlineStr">
        <is>
          <t>November-Sale-List-Updated-10-22.pdf (printed 10/22/2026 2:51:38PM)</t>
        </is>
      </c>
    </row>
    <row r="3">
      <c r="A3" t="inlineStr">
        <is>
          <t>last_run</t>
        </is>
      </c>
      <c r="B3" t="inlineStr">
        <is>
          <t>2026-10-28 04:31</t>
        </is>
      </c>
    </row>
    <row r="4">
      <c r="A4" t="inlineStr">
        <is>
          <t>log</t>
        </is>
      </c>
      <c r="B4" t="inlineStr">
        <is>
          <t>2026-10-25 22:15</t>
        </is>
      </c>
      <c r="C4" t="n">
        <v>105</v>
      </c>
      <c r="D4" t="inlineStr">
        <is>
          <t>November-Sale-List-Updated-10-22.pdf (printed 10/22/2026 2:51:38PM)</t>
        </is>
      </c>
      <c r="E4" t="n">
        <v>17</v>
      </c>
    </row>
    <row r="5">
      <c r="A5" t="inlineStr">
        <is>
          <t>log</t>
        </is>
      </c>
      <c r="B5" t="inlineStr">
        <is>
          <t>2026-10-26 04:31</t>
        </is>
      </c>
      <c r="C5" t="n">
        <v>105</v>
      </c>
      <c r="D5" t="inlineStr">
        <is>
          <t>November-Sale-List-Updated-10-22.pdf (printed 10/22/2026 2:51:38PM)</t>
        </is>
      </c>
      <c r="E5" t="n">
        <v>17</v>
      </c>
    </row>
    <row r="6">
      <c r="A6" t="inlineStr">
        <is>
          <t>log</t>
        </is>
      </c>
      <c r="B6" t="inlineStr">
        <is>
          <t>2026-10-28 04:31</t>
        </is>
      </c>
      <c r="C6" t="n">
        <v>105</v>
      </c>
      <c r="D6" t="inlineStr">
        <is>
          <t>November-Sale-List-Updated-10-22.pdf (printed 10/22/2026 2:51:38PM)</t>
        </is>
      </c>
      <c r="E6" t="n">
        <v>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2026-10-28T04:31:19Z</dcterms:created>
  <dcterms:modified xmlns:dcterms="http://purl.org/dc/terms/" xmlns:xsi="http://www.w3.org/2001/XMLSchema-instance" xsi:type="dcterms:W3CDTF">2026-10-28T04:31:19Z</dcterms:modified>
</cp:coreProperties>
</file>